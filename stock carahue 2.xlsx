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5E9915-2B28-4393-A507-623F0AB13C03}" xr6:coauthVersionLast="45" xr6:coauthVersionMax="45" xr10:uidLastSave="{00000000-0000-0000-0000-000000000000}"/>
  <bookViews>
    <workbookView xWindow="-120" yWindow="-120" windowWidth="20730" windowHeight="11160" xr2:uid="{A168D518-A768-4651-B87E-502201B2B9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6" i="1" l="1"/>
  <c r="J270" i="1"/>
  <c r="J269" i="1"/>
  <c r="J268" i="1"/>
  <c r="J267" i="1"/>
  <c r="J266" i="1"/>
  <c r="J265" i="1"/>
  <c r="J264" i="1"/>
  <c r="J263" i="1"/>
  <c r="J262" i="1"/>
  <c r="J261" i="1"/>
  <c r="J260" i="1"/>
  <c r="J233" i="1" l="1"/>
  <c r="J259" i="1"/>
  <c r="J151" i="1"/>
  <c r="J258" i="1"/>
  <c r="J257" i="1"/>
  <c r="J240" i="1"/>
  <c r="J239" i="1"/>
  <c r="J236" i="1"/>
  <c r="J235" i="1"/>
  <c r="J234" i="1"/>
  <c r="J232" i="1"/>
  <c r="J230" i="1"/>
  <c r="J229" i="1"/>
  <c r="J22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2" i="1"/>
  <c r="J201" i="1"/>
  <c r="J200" i="1"/>
  <c r="J193" i="1"/>
  <c r="J192" i="1"/>
  <c r="J191" i="1"/>
  <c r="J180" i="1"/>
  <c r="J179" i="1"/>
  <c r="J178" i="1"/>
  <c r="J177" i="1"/>
  <c r="J176" i="1"/>
  <c r="J175" i="1"/>
  <c r="J174" i="1"/>
  <c r="J173" i="1"/>
  <c r="J172" i="1"/>
  <c r="J171" i="1"/>
  <c r="J169" i="1"/>
  <c r="J168" i="1"/>
  <c r="J166" i="1"/>
  <c r="J162" i="1"/>
  <c r="J161" i="1"/>
  <c r="J158" i="1"/>
  <c r="J157" i="1"/>
  <c r="J155" i="1"/>
  <c r="J154" i="1"/>
  <c r="J152" i="1"/>
  <c r="J137" i="1"/>
  <c r="J116" i="1"/>
  <c r="J110" i="1"/>
  <c r="J105" i="1" l="1"/>
  <c r="J104" i="1"/>
  <c r="J102" i="1"/>
  <c r="J100" i="1"/>
  <c r="J92" i="1"/>
  <c r="J79" i="1"/>
  <c r="J78" i="1"/>
  <c r="J77" i="1"/>
  <c r="J76" i="1"/>
  <c r="J74" i="1"/>
  <c r="J73" i="1"/>
  <c r="J72" i="1"/>
  <c r="J67" i="1"/>
  <c r="J66" i="1"/>
  <c r="J61" i="1"/>
  <c r="J59" i="1"/>
  <c r="J58" i="1"/>
  <c r="J55" i="1"/>
  <c r="J54" i="1"/>
  <c r="J53" i="1"/>
  <c r="J49" i="1"/>
  <c r="J48" i="1"/>
  <c r="J46" i="1"/>
  <c r="J44" i="1"/>
  <c r="J36" i="1"/>
  <c r="J34" i="1"/>
  <c r="J31" i="1"/>
  <c r="J30" i="1"/>
  <c r="J29" i="1"/>
  <c r="J28" i="1"/>
  <c r="J27" i="1"/>
  <c r="J26" i="1"/>
  <c r="J21" i="1"/>
  <c r="J17" i="1"/>
  <c r="J15" i="1"/>
  <c r="J12" i="1"/>
  <c r="G12" i="1"/>
</calcChain>
</file>

<file path=xl/sharedStrings.xml><?xml version="1.0" encoding="utf-8"?>
<sst xmlns="http://schemas.openxmlformats.org/spreadsheetml/2006/main" count="573" uniqueCount="510">
  <si>
    <t>Producto</t>
  </si>
  <si>
    <t>Codigo</t>
  </si>
  <si>
    <t>Stock fisico</t>
  </si>
  <si>
    <t>Stock Sistema</t>
  </si>
  <si>
    <t>Diferencia</t>
  </si>
  <si>
    <t>Precio</t>
  </si>
  <si>
    <t>Linterna Recargable</t>
  </si>
  <si>
    <t>Kit cargador Dual USB</t>
  </si>
  <si>
    <t>Transmisor FM</t>
  </si>
  <si>
    <t>Kit cargador abodos</t>
  </si>
  <si>
    <t>Kit cargador abodos tipo-c</t>
  </si>
  <si>
    <t>Transmisor BT</t>
  </si>
  <si>
    <t>Cargador auto 30w Tranyoo</t>
  </si>
  <si>
    <t>MICRO SD 32GB</t>
  </si>
  <si>
    <t>MICRO SD 64GB</t>
  </si>
  <si>
    <t>Pendrive 64GB</t>
  </si>
  <si>
    <t>Cable micro-USB</t>
  </si>
  <si>
    <t>Cargador PD 20W</t>
  </si>
  <si>
    <t>Cargador Lightning</t>
  </si>
  <si>
    <t>Cable espiral tipo-c</t>
  </si>
  <si>
    <t>Cargador Completo Tranyoo</t>
  </si>
  <si>
    <t>Cargador completo LENYES</t>
  </si>
  <si>
    <t>Cargador Tipo-C</t>
  </si>
  <si>
    <t>Cable Lightning</t>
  </si>
  <si>
    <t>Cable 3 en 1</t>
  </si>
  <si>
    <t>Cargador completo</t>
  </si>
  <si>
    <t xml:space="preserve">Cargador Completo </t>
  </si>
  <si>
    <t>Cable tipo-c</t>
  </si>
  <si>
    <t>6939020406117</t>
  </si>
  <si>
    <t>6902906668091</t>
  </si>
  <si>
    <t>6974443387353</t>
  </si>
  <si>
    <t>6950636006010</t>
  </si>
  <si>
    <t>6972436522743</t>
  </si>
  <si>
    <t>6972436522378</t>
  </si>
  <si>
    <t>1327070721</t>
  </si>
  <si>
    <t>6970791128792</t>
  </si>
  <si>
    <t>619659184407</t>
  </si>
  <si>
    <t>619659185060</t>
  </si>
  <si>
    <t>25215495472</t>
  </si>
  <si>
    <t>6970791121250</t>
  </si>
  <si>
    <t>1216011221</t>
  </si>
  <si>
    <t>6970791129317</t>
  </si>
  <si>
    <t>6931474707949</t>
  </si>
  <si>
    <t>6970791127337</t>
  </si>
  <si>
    <t>6970791122219</t>
  </si>
  <si>
    <t>6975855106945</t>
  </si>
  <si>
    <t>6970791121267</t>
  </si>
  <si>
    <t>3325201563213</t>
  </si>
  <si>
    <t>6970695643537</t>
  </si>
  <si>
    <t>1947230718</t>
  </si>
  <si>
    <t>112721112020</t>
  </si>
  <si>
    <t>6972436525928</t>
  </si>
  <si>
    <t>Cable tipo-c 3m</t>
  </si>
  <si>
    <t>6970791121618</t>
  </si>
  <si>
    <t>Cable tipo-c 2m</t>
  </si>
  <si>
    <t>6970791121229</t>
  </si>
  <si>
    <t>Cable tipo-c 1.2m</t>
  </si>
  <si>
    <t>6970695643629</t>
  </si>
  <si>
    <t xml:space="preserve">Cable tipo-c 100W </t>
  </si>
  <si>
    <t>6973143497997</t>
  </si>
  <si>
    <t>Cable Tipo-c 1.5m</t>
  </si>
  <si>
    <t>Adaptador ipad</t>
  </si>
  <si>
    <t>6970695645685</t>
  </si>
  <si>
    <t>Adaptador Pared</t>
  </si>
  <si>
    <t xml:space="preserve">Adaptador pared </t>
  </si>
  <si>
    <t xml:space="preserve">kit gamer </t>
  </si>
  <si>
    <t>Audifono Maxell</t>
  </si>
  <si>
    <t>Audifono In-Tips Blanco</t>
  </si>
  <si>
    <t>mas 3</t>
  </si>
  <si>
    <t>mas 1</t>
  </si>
  <si>
    <t>Audifono Philips</t>
  </si>
  <si>
    <t>Audifono Sony</t>
  </si>
  <si>
    <t>Audifonos Motorola</t>
  </si>
  <si>
    <t>audifono abodo</t>
  </si>
  <si>
    <t>audifono ergonomi</t>
  </si>
  <si>
    <t>manos libres tranyoo</t>
  </si>
  <si>
    <t>Audifon abodo</t>
  </si>
  <si>
    <t>audifono Dynamic</t>
  </si>
  <si>
    <t>Audifono Mini Duo</t>
  </si>
  <si>
    <t xml:space="preserve">Audifono TWS </t>
  </si>
  <si>
    <t xml:space="preserve">Audifono Conduccion osea Gnerico </t>
  </si>
  <si>
    <t>Audifono Ombie</t>
  </si>
  <si>
    <t>Audifonos Tranyoo</t>
  </si>
  <si>
    <t>Audifono QKS AK3</t>
  </si>
  <si>
    <t>Audifono BOROFONE Tipo-C</t>
  </si>
  <si>
    <t>Microfono Solapa</t>
  </si>
  <si>
    <t>Kit 2 Microfono Solapa</t>
  </si>
  <si>
    <t>Audifono Casco Maxell</t>
  </si>
  <si>
    <t xml:space="preserve">Audifono Pasivo </t>
  </si>
  <si>
    <t>Cable Magnetico</t>
  </si>
  <si>
    <t>25215500404</t>
  </si>
  <si>
    <t>Audifono Generico</t>
  </si>
  <si>
    <t>305465780116</t>
  </si>
  <si>
    <t>Audifono Evo Sleve</t>
  </si>
  <si>
    <t>798190012667</t>
  </si>
  <si>
    <t>Audifono Studio2 Sleve</t>
  </si>
  <si>
    <t>Audifono Sleve Azul</t>
  </si>
  <si>
    <t>X Pods Sleve</t>
  </si>
  <si>
    <t>709081010655</t>
  </si>
  <si>
    <t>Studio 2 Sleve</t>
  </si>
  <si>
    <t>709081010860</t>
  </si>
  <si>
    <t>Audifono casco Inalambrico</t>
  </si>
  <si>
    <t>6921071710084</t>
  </si>
  <si>
    <t>P9 Azul</t>
  </si>
  <si>
    <t>1922240518</t>
  </si>
  <si>
    <t>P9 Negro</t>
  </si>
  <si>
    <t>1927240518</t>
  </si>
  <si>
    <t>P9 Rojo</t>
  </si>
  <si>
    <t>1853240518</t>
  </si>
  <si>
    <t>P9 Verde</t>
  </si>
  <si>
    <t>1924240518</t>
  </si>
  <si>
    <t>Audifonos TWS Aiwa</t>
  </si>
  <si>
    <t>Audifono Aiwa</t>
  </si>
  <si>
    <t>7804612216025</t>
  </si>
  <si>
    <t>Smart Watch Aiwa</t>
  </si>
  <si>
    <t>7452105800932</t>
  </si>
  <si>
    <t>Kit Cargador Auto</t>
  </si>
  <si>
    <t>Parlante Aiwa Negro</t>
  </si>
  <si>
    <t>7452105801076</t>
  </si>
  <si>
    <t>Parlante Aiwa Rojo</t>
  </si>
  <si>
    <t>7452105801083</t>
  </si>
  <si>
    <t>7453041024475</t>
  </si>
  <si>
    <t>7804612216001</t>
  </si>
  <si>
    <t>Powerbank Aiwa Blanco</t>
  </si>
  <si>
    <t>7804612216148</t>
  </si>
  <si>
    <t>Parlante Karaoke</t>
  </si>
  <si>
    <t>1121231220</t>
  </si>
  <si>
    <t>Smart Watch Aiwa Lite</t>
  </si>
  <si>
    <t>7452105800949</t>
  </si>
  <si>
    <t xml:space="preserve">SoundBar Aiwa </t>
  </si>
  <si>
    <t>7804612212980</t>
  </si>
  <si>
    <t>7804612213413</t>
  </si>
  <si>
    <t>Audifono Aiwa I7</t>
  </si>
  <si>
    <t>7804612213758</t>
  </si>
  <si>
    <t>T10 Ultra</t>
  </si>
  <si>
    <t>716829714812</t>
  </si>
  <si>
    <t>Transmisor Bluetooth</t>
  </si>
  <si>
    <t xml:space="preserve">Lampara LED con Ventilador </t>
  </si>
  <si>
    <t>1817241227</t>
  </si>
  <si>
    <t>Fume Frutilla Platano</t>
  </si>
  <si>
    <t>6974810260173</t>
  </si>
  <si>
    <t>Fume Sandia</t>
  </si>
  <si>
    <t>6974810260203</t>
  </si>
  <si>
    <t>Fume Purple Pain</t>
  </si>
  <si>
    <t>6974810260210</t>
  </si>
  <si>
    <t>ROKU 4K</t>
  </si>
  <si>
    <t>829610003221</t>
  </si>
  <si>
    <t>6970791129157</t>
  </si>
  <si>
    <t>Soporte Rotacion 360</t>
  </si>
  <si>
    <t>6970791129768</t>
  </si>
  <si>
    <t>Soporte Magnetico</t>
  </si>
  <si>
    <t>Soporte Magnetico Tranyoo</t>
  </si>
  <si>
    <t>Soporte Magnetico Rejilla</t>
  </si>
  <si>
    <t>6972436523528</t>
  </si>
  <si>
    <t>Soporte de Celular para Moto</t>
  </si>
  <si>
    <t>1415231101</t>
  </si>
  <si>
    <t>Cargador usb</t>
  </si>
  <si>
    <t>6901004412049</t>
  </si>
  <si>
    <t>PoweBank 2400mh</t>
  </si>
  <si>
    <t>828122029</t>
  </si>
  <si>
    <t>Cargador Auto PD</t>
  </si>
  <si>
    <t>6972436524013</t>
  </si>
  <si>
    <t>Cargador Tranyoo 3 puntas</t>
  </si>
  <si>
    <t>6970791127559</t>
  </si>
  <si>
    <t>Perdida</t>
  </si>
  <si>
    <t xml:space="preserve"> Cable de Carga Magnetico</t>
  </si>
  <si>
    <t>112416122021</t>
  </si>
  <si>
    <t>Power Bank INKAX</t>
  </si>
  <si>
    <t>6975742431327</t>
  </si>
  <si>
    <t xml:space="preserve">FULL 0 </t>
  </si>
  <si>
    <t>174530072021</t>
  </si>
  <si>
    <t>Parlante Bluetooth</t>
  </si>
  <si>
    <t>1821250415</t>
  </si>
  <si>
    <t>Lampara RGB</t>
  </si>
  <si>
    <t>1443240416</t>
  </si>
  <si>
    <t>Mini Parlante</t>
  </si>
  <si>
    <t>6970791122769</t>
  </si>
  <si>
    <t xml:space="preserve">Escarabajo </t>
  </si>
  <si>
    <t>736372725745</t>
  </si>
  <si>
    <t>709081010877</t>
  </si>
  <si>
    <t>6931474716729</t>
  </si>
  <si>
    <t>6974443387575</t>
  </si>
  <si>
    <t>6974443387537</t>
  </si>
  <si>
    <t>889446006032</t>
  </si>
  <si>
    <t>6970791124459</t>
  </si>
  <si>
    <t>6970791124466</t>
  </si>
  <si>
    <t>885170360785</t>
  </si>
  <si>
    <t>6972436521685</t>
  </si>
  <si>
    <t>6972436526536</t>
  </si>
  <si>
    <t>5055374709795</t>
  </si>
  <si>
    <t>889446006964</t>
  </si>
  <si>
    <t>6970695645531</t>
  </si>
  <si>
    <t>6970791125326</t>
  </si>
  <si>
    <t>7804612214557</t>
  </si>
  <si>
    <t>7452105800772</t>
  </si>
  <si>
    <t>7453041021917</t>
  </si>
  <si>
    <t>7452105800895</t>
  </si>
  <si>
    <t>6972436523535</t>
  </si>
  <si>
    <t>kit cargador jokade</t>
  </si>
  <si>
    <t>6921042146751</t>
  </si>
  <si>
    <t>1644270522</t>
  </si>
  <si>
    <t>7452105800178</t>
  </si>
  <si>
    <t>Parlante Aiwa</t>
  </si>
  <si>
    <t>Audifono Tranyoo</t>
  </si>
  <si>
    <t>6970791128938</t>
  </si>
  <si>
    <t>Teclado Gamer</t>
  </si>
  <si>
    <t>6972543651008</t>
  </si>
  <si>
    <t xml:space="preserve">Kit cargador completo </t>
  </si>
  <si>
    <t>6973143493166</t>
  </si>
  <si>
    <t>Kit armable</t>
  </si>
  <si>
    <t>6972206802167</t>
  </si>
  <si>
    <t>Audifono Abodos</t>
  </si>
  <si>
    <t>6972436521623</t>
  </si>
  <si>
    <t>Audifonos Abodos</t>
  </si>
  <si>
    <t>6972436524433</t>
  </si>
  <si>
    <t>6970791120482</t>
  </si>
  <si>
    <t xml:space="preserve">Cargador Pared </t>
  </si>
  <si>
    <t>6970791120888</t>
  </si>
  <si>
    <t>6970791121274</t>
  </si>
  <si>
    <t>6970791122868</t>
  </si>
  <si>
    <t>6970791123384</t>
  </si>
  <si>
    <t>Cargador Auto Tranyoo</t>
  </si>
  <si>
    <t>6970791123414</t>
  </si>
  <si>
    <t>Cargador completo PD</t>
  </si>
  <si>
    <t>6970791123827</t>
  </si>
  <si>
    <t>Cargador pared tranyoo</t>
  </si>
  <si>
    <t>6970791129270</t>
  </si>
  <si>
    <t>Cargador Vehiculo Viaking</t>
  </si>
  <si>
    <t>6970810174984</t>
  </si>
  <si>
    <t xml:space="preserve">Audifonos Gamer </t>
  </si>
  <si>
    <t>6956398302902</t>
  </si>
  <si>
    <t>Audifono Hoco</t>
  </si>
  <si>
    <t>6957531079781</t>
  </si>
  <si>
    <t>Cargador Completo Tipo-C</t>
  </si>
  <si>
    <t>6970695640420</t>
  </si>
  <si>
    <t>6970695644237</t>
  </si>
  <si>
    <t>Cargador pared nano armor</t>
  </si>
  <si>
    <t>69706956452342.4</t>
  </si>
  <si>
    <t>Audifonos Bluetooth Dunspin</t>
  </si>
  <si>
    <t>6952251424767</t>
  </si>
  <si>
    <t>6970791128235</t>
  </si>
  <si>
    <t>6970791128242</t>
  </si>
  <si>
    <t>6970791126453</t>
  </si>
  <si>
    <t>Cargador Completo 55w Lightning</t>
  </si>
  <si>
    <t>6970791126446</t>
  </si>
  <si>
    <t>Cargador Completo 55w Tipo-C</t>
  </si>
  <si>
    <t>Cargador Pared</t>
  </si>
  <si>
    <t>6970791126262</t>
  </si>
  <si>
    <t>6970791126248</t>
  </si>
  <si>
    <t>6970791126200</t>
  </si>
  <si>
    <t>Kit gamer Generico</t>
  </si>
  <si>
    <t>60103285188837</t>
  </si>
  <si>
    <t>Celular Adulto Mayor</t>
  </si>
  <si>
    <t>4740007705077</t>
  </si>
  <si>
    <t>Kit Cargador Completo Tipo-c</t>
  </si>
  <si>
    <t>4740007705237</t>
  </si>
  <si>
    <t xml:space="preserve">Soporte tv Techo </t>
  </si>
  <si>
    <t>333391111129</t>
  </si>
  <si>
    <t>Pistola Masajeador</t>
  </si>
  <si>
    <t>1943230913</t>
  </si>
  <si>
    <t>6973143499298</t>
  </si>
  <si>
    <t>Inversor de Voltaje</t>
  </si>
  <si>
    <t>12230040820</t>
  </si>
  <si>
    <t>Adaptador micro usb a lighting</t>
  </si>
  <si>
    <t>6901004412452</t>
  </si>
  <si>
    <t>OTG tipo-c</t>
  </si>
  <si>
    <t>113315012021</t>
  </si>
  <si>
    <t>usb tipo-c a micro</t>
  </si>
  <si>
    <t>137137400035</t>
  </si>
  <si>
    <t>Cable auxiliar 1.5m</t>
  </si>
  <si>
    <t>1524241003</t>
  </si>
  <si>
    <t xml:space="preserve">Hub 4 en 1 </t>
  </si>
  <si>
    <t>1553250805</t>
  </si>
  <si>
    <t xml:space="preserve">Conversor HDMI a VGA </t>
  </si>
  <si>
    <t>1547250805</t>
  </si>
  <si>
    <t>Cable Aux espiral</t>
  </si>
  <si>
    <t>6988062130399</t>
  </si>
  <si>
    <t>Cable auxiliar</t>
  </si>
  <si>
    <t>6988062130276</t>
  </si>
  <si>
    <t>Adaptador tipo-c a aux</t>
  </si>
  <si>
    <t>1807090920</t>
  </si>
  <si>
    <t xml:space="preserve">Hub tecmaster </t>
  </si>
  <si>
    <t>6971193493037</t>
  </si>
  <si>
    <t>Kit de limpieza</t>
  </si>
  <si>
    <t>7268279003112</t>
  </si>
  <si>
    <t>Kit limpieza</t>
  </si>
  <si>
    <t>1319829072020</t>
  </si>
  <si>
    <t>Mouse Optico</t>
  </si>
  <si>
    <t>025215503375</t>
  </si>
  <si>
    <t>Mouse Bluetooth Tecnolab</t>
  </si>
  <si>
    <t>4740007706579</t>
  </si>
  <si>
    <t>Teclado español Weibo</t>
  </si>
  <si>
    <t>6972543655303</t>
  </si>
  <si>
    <t>Mouse Inalambrico</t>
  </si>
  <si>
    <t>6972543651756</t>
  </si>
  <si>
    <t>Mouse Dual Recargable</t>
  </si>
  <si>
    <t>6971193491811</t>
  </si>
  <si>
    <t>1444121020</t>
  </si>
  <si>
    <t>1008240820</t>
  </si>
  <si>
    <t>1618030221</t>
  </si>
  <si>
    <t>25215494161</t>
  </si>
  <si>
    <t>Audifonos JBL</t>
  </si>
  <si>
    <t>6925281949821</t>
  </si>
  <si>
    <t xml:space="preserve">Audifono Maxell </t>
  </si>
  <si>
    <t>025215504907</t>
  </si>
  <si>
    <t xml:space="preserve">Audifono JBL </t>
  </si>
  <si>
    <t>6925281949814</t>
  </si>
  <si>
    <t>Audifono Tranyoo Lightning</t>
  </si>
  <si>
    <t>6970791126880</t>
  </si>
  <si>
    <t>Audifono In-ear JBL</t>
  </si>
  <si>
    <t>6925281946165</t>
  </si>
  <si>
    <t xml:space="preserve">Audifono Drpui </t>
  </si>
  <si>
    <t>6970695642202</t>
  </si>
  <si>
    <t>6970791123728</t>
  </si>
  <si>
    <t>Audifono Tipo-c Borofone</t>
  </si>
  <si>
    <t>6931474701725</t>
  </si>
  <si>
    <t xml:space="preserve">Audifono tipo casco </t>
  </si>
  <si>
    <t>000121230003</t>
  </si>
  <si>
    <t>Audifono tranyoo</t>
  </si>
  <si>
    <t>6970791124817</t>
  </si>
  <si>
    <t>025215504747</t>
  </si>
  <si>
    <t>Audifono Sport Hoco</t>
  </si>
  <si>
    <t>6931474780041</t>
  </si>
  <si>
    <t>Audifono</t>
  </si>
  <si>
    <t>6971214861364</t>
  </si>
  <si>
    <t>6972436523061</t>
  </si>
  <si>
    <t>Audifono Abodos negro</t>
  </si>
  <si>
    <t>Audifono Abodos Morado</t>
  </si>
  <si>
    <t>6972436524822</t>
  </si>
  <si>
    <t>Audifono in-ear JBL</t>
  </si>
  <si>
    <t>050036352543</t>
  </si>
  <si>
    <t>Audifono Felpa conejo</t>
  </si>
  <si>
    <t>1148120222</t>
  </si>
  <si>
    <t>1447250402</t>
  </si>
  <si>
    <t xml:space="preserve">Audifonos TWS </t>
  </si>
  <si>
    <t>Casco Inkax</t>
  </si>
  <si>
    <t>6901004415774</t>
  </si>
  <si>
    <t>Camara Ip Wifi</t>
  </si>
  <si>
    <t>1636250809</t>
  </si>
  <si>
    <t>Celular Adulto Mayor Tecnolab</t>
  </si>
  <si>
    <t>4740007705084</t>
  </si>
  <si>
    <t xml:space="preserve">Reloj Pulsera </t>
  </si>
  <si>
    <t>1555241022</t>
  </si>
  <si>
    <t>Smart Bracelet</t>
  </si>
  <si>
    <t>1558160421</t>
  </si>
  <si>
    <t>Reloj Smartwatch</t>
  </si>
  <si>
    <t>6931474754189</t>
  </si>
  <si>
    <t>TV Box</t>
  </si>
  <si>
    <t>1745250404</t>
  </si>
  <si>
    <t>Decodificador Tv</t>
  </si>
  <si>
    <t>1335241227</t>
  </si>
  <si>
    <t>Powerbank Inkax</t>
  </si>
  <si>
    <t>6975742431341</t>
  </si>
  <si>
    <t>302391111111</t>
  </si>
  <si>
    <t xml:space="preserve">Soporte tv  </t>
  </si>
  <si>
    <t>Soporte Con ventoza</t>
  </si>
  <si>
    <t>6970791126156</t>
  </si>
  <si>
    <t>Soporte Vehiculo</t>
  </si>
  <si>
    <t>6972436525416</t>
  </si>
  <si>
    <t>1834270769</t>
  </si>
  <si>
    <t>Soporte alta adherencia</t>
  </si>
  <si>
    <t>1650250408</t>
  </si>
  <si>
    <t>Kit transmisor</t>
  </si>
  <si>
    <t>7168297177140</t>
  </si>
  <si>
    <t>Cargador Notebook</t>
  </si>
  <si>
    <t>7298229029657</t>
  </si>
  <si>
    <t>Cargador Notebook sony</t>
  </si>
  <si>
    <t>1134231121</t>
  </si>
  <si>
    <t>Cargador Notebook Toshiba</t>
  </si>
  <si>
    <t>0932221121</t>
  </si>
  <si>
    <t>Cargador notebook universal</t>
  </si>
  <si>
    <t>1542191121</t>
  </si>
  <si>
    <t>Cargador Universal</t>
  </si>
  <si>
    <t>1257240920</t>
  </si>
  <si>
    <t>Cargador notebook lenovo</t>
  </si>
  <si>
    <t>Cargador universal</t>
  </si>
  <si>
    <t>6925871669269</t>
  </si>
  <si>
    <t>Cargador Notebook Sony</t>
  </si>
  <si>
    <t>1201221121</t>
  </si>
  <si>
    <t>1203231121</t>
  </si>
  <si>
    <t>Cargador Macbook</t>
  </si>
  <si>
    <t>1228231121</t>
  </si>
  <si>
    <t>Cargador notebook</t>
  </si>
  <si>
    <t>29TNBLN207</t>
  </si>
  <si>
    <t>Cargador notebook sony</t>
  </si>
  <si>
    <t>7298229021965</t>
  </si>
  <si>
    <t>7298229024706</t>
  </si>
  <si>
    <t>Cargador notebook hp</t>
  </si>
  <si>
    <t>7298229021583</t>
  </si>
  <si>
    <t>7298229021941</t>
  </si>
  <si>
    <t>7298229022023</t>
  </si>
  <si>
    <t>7298229022078</t>
  </si>
  <si>
    <t>Cargador notebook olidata</t>
  </si>
  <si>
    <t>7298229023280</t>
  </si>
  <si>
    <t xml:space="preserve">Cargador notebook </t>
  </si>
  <si>
    <t>7298229023341</t>
  </si>
  <si>
    <t>Cargador notebook toshiba</t>
  </si>
  <si>
    <t>7298229023914</t>
  </si>
  <si>
    <t>R01175I38830000968</t>
  </si>
  <si>
    <t>Cargador notebook dell</t>
  </si>
  <si>
    <t>R01175I38831000693</t>
  </si>
  <si>
    <t xml:space="preserve">Mouse optico </t>
  </si>
  <si>
    <t>7330985123139</t>
  </si>
  <si>
    <t>Ventilador notebook</t>
  </si>
  <si>
    <t>6353241803560</t>
  </si>
  <si>
    <t>Filtro anti-luz azul</t>
  </si>
  <si>
    <t>1219210622</t>
  </si>
  <si>
    <t>Cofre disco duro</t>
  </si>
  <si>
    <t>6971193492733</t>
  </si>
  <si>
    <t>Cofre disco duro tranyoo</t>
  </si>
  <si>
    <t>6970791128020</t>
  </si>
  <si>
    <t>Figura accion armable</t>
  </si>
  <si>
    <t>2119250818</t>
  </si>
  <si>
    <t>Labubu</t>
  </si>
  <si>
    <t>6931571071929</t>
  </si>
  <si>
    <t>Volantines</t>
  </si>
  <si>
    <t>Figura accion t13</t>
  </si>
  <si>
    <t>1922250612</t>
  </si>
  <si>
    <t>Labubu Cocacola</t>
  </si>
  <si>
    <t>6931571047290</t>
  </si>
  <si>
    <t>Dummy 13</t>
  </si>
  <si>
    <t>1631250816</t>
  </si>
  <si>
    <t>Bulldozer escala</t>
  </si>
  <si>
    <t>1836221117</t>
  </si>
  <si>
    <t>Rock Crawler Mini</t>
  </si>
  <si>
    <t>1602060222</t>
  </si>
  <si>
    <t>Peluche espanta cuco</t>
  </si>
  <si>
    <t>2016908001863</t>
  </si>
  <si>
    <t>Scooter Infantil batman</t>
  </si>
  <si>
    <t>9780201379723</t>
  </si>
  <si>
    <t>Maquina boxeo</t>
  </si>
  <si>
    <t>1225241024</t>
  </si>
  <si>
    <t>Set dinosaurios</t>
  </si>
  <si>
    <t>1244221121</t>
  </si>
  <si>
    <t>set clinica</t>
  </si>
  <si>
    <t>193052013866</t>
  </si>
  <si>
    <t>Juego de mesa</t>
  </si>
  <si>
    <t>8425402271438</t>
  </si>
  <si>
    <t>Juego de cartas</t>
  </si>
  <si>
    <t>0825220522</t>
  </si>
  <si>
    <t>Dron</t>
  </si>
  <si>
    <t>0926231121</t>
  </si>
  <si>
    <t>1910250102</t>
  </si>
  <si>
    <t>1907240801</t>
  </si>
  <si>
    <t>Auto metal offride</t>
  </si>
  <si>
    <t>1644210622</t>
  </si>
  <si>
    <t>Auto a escala</t>
  </si>
  <si>
    <t>6946548102650</t>
  </si>
  <si>
    <t>Mini auto</t>
  </si>
  <si>
    <t>6954730500160</t>
  </si>
  <si>
    <t>Set poker</t>
  </si>
  <si>
    <t>83613822</t>
  </si>
  <si>
    <t>6971542158419</t>
  </si>
  <si>
    <t>Kit microfono</t>
  </si>
  <si>
    <t>1910230927</t>
  </si>
  <si>
    <t>Guantes impermeables</t>
  </si>
  <si>
    <t>1722082020</t>
  </si>
  <si>
    <t>Gotita</t>
  </si>
  <si>
    <t>77317186</t>
  </si>
  <si>
    <t>TOTAL</t>
  </si>
  <si>
    <t>2021060212262</t>
  </si>
  <si>
    <t xml:space="preserve">Kit microfono </t>
  </si>
  <si>
    <t>1337250717</t>
  </si>
  <si>
    <t>1835231111</t>
  </si>
  <si>
    <t>Kit cargador Tecmaster</t>
  </si>
  <si>
    <t>6971193494089</t>
  </si>
  <si>
    <t>Cargador completo Abodos</t>
  </si>
  <si>
    <t>6972436522583</t>
  </si>
  <si>
    <t>Kit cargador completo</t>
  </si>
  <si>
    <t>6972436525461</t>
  </si>
  <si>
    <t>Kit cargador completo iphone</t>
  </si>
  <si>
    <t>1443061221</t>
  </si>
  <si>
    <t>Kit cargador micro-usb</t>
  </si>
  <si>
    <t>6972436520640</t>
  </si>
  <si>
    <t>Kit microfono tipo-c</t>
  </si>
  <si>
    <t>1357250717</t>
  </si>
  <si>
    <t>4740007705206</t>
  </si>
  <si>
    <t>Kit cargador tipo-c</t>
  </si>
  <si>
    <t>6970791126910</t>
  </si>
  <si>
    <t>6972436527694</t>
  </si>
  <si>
    <t>Kit cargador tipo-c 67w</t>
  </si>
  <si>
    <t>1347240415</t>
  </si>
  <si>
    <t>Kit cargador completo lightning</t>
  </si>
  <si>
    <t>1951241206</t>
  </si>
  <si>
    <t>Kit cargador completo tipo-c</t>
  </si>
  <si>
    <t>6921042139111</t>
  </si>
  <si>
    <t>Cargador Lightning 30w</t>
  </si>
  <si>
    <t>6921042143514</t>
  </si>
  <si>
    <t>6970791127276</t>
  </si>
  <si>
    <t xml:space="preserve">Kit cargador tipo-c </t>
  </si>
  <si>
    <t>6971193491941</t>
  </si>
  <si>
    <t>6972436524204</t>
  </si>
  <si>
    <t>6972436524273</t>
  </si>
  <si>
    <t>kit cargador tipo-c</t>
  </si>
  <si>
    <t>6972436527700</t>
  </si>
  <si>
    <t>Transmisor fm bluetooth</t>
  </si>
  <si>
    <t>6973143498949</t>
  </si>
  <si>
    <t>kit cargador auto</t>
  </si>
  <si>
    <t>6975742437695</t>
  </si>
  <si>
    <t>7816888220286</t>
  </si>
  <si>
    <t>94020102021</t>
  </si>
  <si>
    <t>Kit cargador pd</t>
  </si>
  <si>
    <t>1029101121</t>
  </si>
  <si>
    <t>123108072021</t>
  </si>
  <si>
    <t>Kit cargador completo micro-usb</t>
  </si>
  <si>
    <t>1307280522</t>
  </si>
  <si>
    <t>1526290322</t>
  </si>
  <si>
    <t>2026241206</t>
  </si>
  <si>
    <t>6901443080274</t>
  </si>
  <si>
    <t>6970791129294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</si>
</sst>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 [$$-340A]* #,##0.00_ ;_ [$$-340A]* \-#,##0.00_ ;_ [$$-340A]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B2F32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0" borderId="0" xfId="0" applyFont="1"/>
    <xf numFmtId="164" fontId="0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3" borderId="1" xfId="0" applyFont="1" applyFill="1" applyBorder="1"/>
    <xf numFmtId="0" fontId="0" fillId="4" borderId="1" xfId="0" applyFont="1" applyFill="1" applyBorder="1"/>
    <xf numFmtId="0" fontId="0" fillId="0" borderId="0" xfId="1" applyNumberFormat="1" applyFont="1"/>
    <xf numFmtId="0" fontId="0" fillId="0" borderId="0" xfId="0" quotePrefix="1"/>
    <xf numFmtId="0" fontId="0" fillId="5" borderId="0" xfId="0" applyFill="1"/>
    <xf numFmtId="49" fontId="0" fillId="5" borderId="0" xfId="0" applyNumberFormat="1" applyFill="1"/>
    <xf numFmtId="14" fontId="0" fillId="5" borderId="0" xfId="0" applyNumberFormat="1" applyFill="1"/>
    <xf numFmtId="0" fontId="0" fillId="5" borderId="1" xfId="0" applyFont="1" applyFill="1" applyBorder="1"/>
    <xf numFmtId="164" fontId="0" fillId="5" borderId="0" xfId="0" applyNumberFormat="1" applyFill="1"/>
    <xf numFmtId="0" fontId="0" fillId="3" borderId="2" xfId="0" applyFont="1" applyFill="1" applyBorder="1"/>
    <xf numFmtId="0" fontId="0" fillId="4" borderId="2" xfId="0" applyFont="1" applyFill="1" applyBorder="1"/>
  </cellXfs>
  <cellStyles count="2">
    <cellStyle name="Moneda" xfId="1" builtinId="4"/>
    <cellStyle name="Normal" xfId="0" builtinId="0"/>
  </cellStyles>
  <dxfs count="2">
    <dxf>
      <numFmt numFmtId="30" formatCode="@"/>
    </dxf>
    <dxf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55FBA-E514-4808-AD4C-B166C9B89A28}" name="Tabla1" displayName="Tabla1" ref="B2:G294" totalsRowShown="0" headerRowDxfId="1">
  <autoFilter ref="B2:G294" xr:uid="{AF99FB1E-86B4-4A8C-9257-D37A91BE9ACB}"/>
  <tableColumns count="6">
    <tableColumn id="1" xr3:uid="{F77C4151-53A4-4B9B-9E20-B59592962093}" name="Producto"/>
    <tableColumn id="2" xr3:uid="{11D2128B-C2CF-4C20-97EB-46BCDF0E5679}" name="Codigo" dataDxfId="0"/>
    <tableColumn id="3" xr3:uid="{95EC308A-42FF-436D-9462-137F88B5FCA3}" name="Stock fisico"/>
    <tableColumn id="4" xr3:uid="{3C7D94C8-9FF5-4A43-AB81-FD76EB07FC11}" name="Stock Sistema"/>
    <tableColumn id="5" xr3:uid="{2AE1C03F-BA47-481C-A0DD-0C9F475E20D7}" name="Diferencia"/>
    <tableColumn id="6" xr3:uid="{2B2D78B6-C9B0-4650-A158-3F0C8D1CEC7D}" name="Precio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77C9-39A5-40EA-8032-564BC4C258C7}">
  <dimension ref="B2:J296"/>
  <sheetViews>
    <sheetView tabSelected="1" topLeftCell="A280" workbookViewId="0">
      <selection activeCell="J295" sqref="J295"/>
    </sheetView>
  </sheetViews>
  <sheetFormatPr baseColWidth="10" defaultRowHeight="15"/>
  <cols>
    <col min="2" max="2" width="27.85546875" customWidth="1"/>
    <col min="3" max="3" width="20.140625" customWidth="1"/>
    <col min="4" max="4" width="13" customWidth="1"/>
    <col min="5" max="5" width="15.28515625" customWidth="1"/>
    <col min="6" max="6" width="12.28515625" customWidth="1"/>
    <col min="7" max="7" width="15.28515625" customWidth="1"/>
    <col min="10" max="10" width="15.28515625" bestFit="1" customWidth="1"/>
  </cols>
  <sheetData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J2" t="s">
        <v>164</v>
      </c>
    </row>
    <row r="3" spans="2:10">
      <c r="B3" s="2" t="s">
        <v>6</v>
      </c>
      <c r="C3" s="4" t="s">
        <v>28</v>
      </c>
      <c r="D3">
        <v>3</v>
      </c>
      <c r="E3">
        <v>4</v>
      </c>
      <c r="F3">
        <v>-1</v>
      </c>
      <c r="G3" s="3">
        <v>6990</v>
      </c>
      <c r="J3" s="8">
        <v>6990</v>
      </c>
    </row>
    <row r="4" spans="2:10">
      <c r="B4" t="s">
        <v>6</v>
      </c>
      <c r="C4" s="4" t="s">
        <v>29</v>
      </c>
      <c r="D4">
        <v>2</v>
      </c>
      <c r="E4">
        <v>3</v>
      </c>
      <c r="F4">
        <v>-1</v>
      </c>
      <c r="G4">
        <v>7990</v>
      </c>
      <c r="J4">
        <v>7990</v>
      </c>
    </row>
    <row r="5" spans="2:10">
      <c r="B5" t="s">
        <v>198</v>
      </c>
      <c r="C5" s="4" t="s">
        <v>199</v>
      </c>
      <c r="D5">
        <v>5</v>
      </c>
      <c r="E5">
        <v>6</v>
      </c>
      <c r="F5">
        <v>-1</v>
      </c>
      <c r="G5">
        <v>11990</v>
      </c>
      <c r="J5">
        <v>11990</v>
      </c>
    </row>
    <row r="6" spans="2:10">
      <c r="B6" t="s">
        <v>7</v>
      </c>
      <c r="C6" s="4" t="s">
        <v>30</v>
      </c>
      <c r="D6">
        <v>5</v>
      </c>
      <c r="E6">
        <v>6</v>
      </c>
      <c r="F6">
        <v>-1</v>
      </c>
      <c r="G6">
        <v>10990</v>
      </c>
      <c r="J6">
        <v>10990</v>
      </c>
    </row>
    <row r="7" spans="2:10">
      <c r="B7" t="s">
        <v>8</v>
      </c>
      <c r="C7" s="4" t="s">
        <v>31</v>
      </c>
      <c r="D7">
        <v>2</v>
      </c>
      <c r="E7">
        <v>3</v>
      </c>
      <c r="F7">
        <v>-1</v>
      </c>
      <c r="G7">
        <v>16990</v>
      </c>
      <c r="J7">
        <v>16990</v>
      </c>
    </row>
    <row r="8" spans="2:10">
      <c r="B8" t="s">
        <v>9</v>
      </c>
      <c r="C8" s="5" t="s">
        <v>32</v>
      </c>
      <c r="D8">
        <v>4</v>
      </c>
      <c r="E8">
        <v>5</v>
      </c>
      <c r="F8">
        <v>-1</v>
      </c>
      <c r="G8">
        <v>8990</v>
      </c>
      <c r="J8">
        <v>8990</v>
      </c>
    </row>
    <row r="9" spans="2:10">
      <c r="B9" t="s">
        <v>10</v>
      </c>
      <c r="C9" s="4" t="s">
        <v>33</v>
      </c>
      <c r="D9">
        <v>4</v>
      </c>
      <c r="E9">
        <v>5</v>
      </c>
      <c r="F9">
        <v>-1</v>
      </c>
      <c r="G9">
        <v>6990</v>
      </c>
      <c r="J9">
        <v>6990</v>
      </c>
    </row>
    <row r="10" spans="2:10">
      <c r="B10" t="s">
        <v>11</v>
      </c>
      <c r="C10" s="4" t="s">
        <v>34</v>
      </c>
      <c r="D10">
        <v>9</v>
      </c>
      <c r="E10">
        <v>10</v>
      </c>
      <c r="F10">
        <v>-1</v>
      </c>
      <c r="G10">
        <v>9990</v>
      </c>
      <c r="J10">
        <v>9990</v>
      </c>
    </row>
    <row r="11" spans="2:10">
      <c r="B11" t="s">
        <v>12</v>
      </c>
      <c r="C11" s="4" t="s">
        <v>35</v>
      </c>
      <c r="D11">
        <v>2</v>
      </c>
      <c r="E11">
        <v>3</v>
      </c>
      <c r="F11">
        <v>-1</v>
      </c>
      <c r="G11">
        <v>8990</v>
      </c>
      <c r="J11">
        <v>8990</v>
      </c>
    </row>
    <row r="12" spans="2:10">
      <c r="B12" t="s">
        <v>13</v>
      </c>
      <c r="C12" s="4" t="s">
        <v>36</v>
      </c>
      <c r="D12">
        <v>3</v>
      </c>
      <c r="E12">
        <v>5</v>
      </c>
      <c r="F12">
        <v>-2</v>
      </c>
      <c r="G12">
        <f>9990</f>
        <v>9990</v>
      </c>
      <c r="J12">
        <f>9990*2</f>
        <v>19980</v>
      </c>
    </row>
    <row r="13" spans="2:10">
      <c r="B13" t="s">
        <v>14</v>
      </c>
      <c r="C13" s="4" t="s">
        <v>37</v>
      </c>
      <c r="D13">
        <v>2</v>
      </c>
      <c r="E13">
        <v>3</v>
      </c>
      <c r="F13">
        <v>-1</v>
      </c>
      <c r="G13">
        <v>12990</v>
      </c>
      <c r="J13">
        <v>12990</v>
      </c>
    </row>
    <row r="14" spans="2:10">
      <c r="B14" t="s">
        <v>15</v>
      </c>
      <c r="C14" s="4" t="s">
        <v>38</v>
      </c>
      <c r="D14">
        <v>7</v>
      </c>
      <c r="E14">
        <v>8</v>
      </c>
      <c r="F14">
        <v>-1</v>
      </c>
      <c r="G14">
        <v>9990</v>
      </c>
      <c r="J14">
        <v>9990</v>
      </c>
    </row>
    <row r="15" spans="2:10">
      <c r="B15" t="s">
        <v>16</v>
      </c>
      <c r="C15" s="4" t="s">
        <v>39</v>
      </c>
      <c r="D15">
        <v>13</v>
      </c>
      <c r="E15">
        <v>17</v>
      </c>
      <c r="F15">
        <v>-4</v>
      </c>
      <c r="G15">
        <v>3990</v>
      </c>
      <c r="J15">
        <f>3990*4</f>
        <v>15960</v>
      </c>
    </row>
    <row r="16" spans="2:10">
      <c r="B16" t="s">
        <v>16</v>
      </c>
      <c r="C16" s="4" t="s">
        <v>40</v>
      </c>
      <c r="D16">
        <v>4</v>
      </c>
      <c r="E16">
        <v>5</v>
      </c>
      <c r="F16">
        <v>-1</v>
      </c>
      <c r="G16">
        <v>9990</v>
      </c>
      <c r="J16">
        <v>9990</v>
      </c>
    </row>
    <row r="17" spans="2:10">
      <c r="B17" t="s">
        <v>17</v>
      </c>
      <c r="C17" s="4" t="s">
        <v>41</v>
      </c>
      <c r="D17">
        <v>2</v>
      </c>
      <c r="E17">
        <v>4</v>
      </c>
      <c r="F17">
        <v>-2</v>
      </c>
      <c r="G17">
        <v>10990</v>
      </c>
      <c r="J17">
        <f>10990*2</f>
        <v>21980</v>
      </c>
    </row>
    <row r="18" spans="2:10">
      <c r="B18" t="s">
        <v>18</v>
      </c>
      <c r="C18" s="4" t="s">
        <v>42</v>
      </c>
      <c r="D18">
        <v>6</v>
      </c>
      <c r="E18">
        <v>7</v>
      </c>
      <c r="F18">
        <v>-1</v>
      </c>
      <c r="G18">
        <v>10990</v>
      </c>
      <c r="J18">
        <v>10990</v>
      </c>
    </row>
    <row r="19" spans="2:10">
      <c r="B19" t="s">
        <v>19</v>
      </c>
      <c r="C19" s="4">
        <v>114010622</v>
      </c>
      <c r="D19">
        <v>3</v>
      </c>
      <c r="E19">
        <v>4</v>
      </c>
      <c r="F19">
        <v>-1</v>
      </c>
      <c r="G19">
        <v>10990</v>
      </c>
      <c r="J19">
        <v>10990</v>
      </c>
    </row>
    <row r="20" spans="2:10">
      <c r="B20" t="s">
        <v>20</v>
      </c>
      <c r="C20" s="4" t="s">
        <v>43</v>
      </c>
      <c r="D20">
        <v>4</v>
      </c>
      <c r="E20">
        <v>5</v>
      </c>
      <c r="F20">
        <v>-1</v>
      </c>
      <c r="G20">
        <v>14990</v>
      </c>
      <c r="J20">
        <v>14990</v>
      </c>
    </row>
    <row r="21" spans="2:10">
      <c r="B21" t="s">
        <v>21</v>
      </c>
      <c r="C21" s="4" t="s">
        <v>45</v>
      </c>
      <c r="D21">
        <v>3</v>
      </c>
      <c r="E21">
        <v>6</v>
      </c>
      <c r="F21">
        <v>-3</v>
      </c>
      <c r="G21">
        <v>19990</v>
      </c>
      <c r="J21">
        <f>19990*3</f>
        <v>59970</v>
      </c>
    </row>
    <row r="22" spans="2:10">
      <c r="B22" t="s">
        <v>22</v>
      </c>
      <c r="C22" s="4" t="s">
        <v>44</v>
      </c>
      <c r="D22">
        <v>4</v>
      </c>
      <c r="E22">
        <v>5</v>
      </c>
      <c r="F22">
        <v>-1</v>
      </c>
      <c r="G22">
        <v>9990</v>
      </c>
      <c r="J22">
        <v>9990</v>
      </c>
    </row>
    <row r="23" spans="2:10">
      <c r="B23" t="s">
        <v>23</v>
      </c>
      <c r="C23" s="4" t="s">
        <v>46</v>
      </c>
      <c r="D23">
        <v>2</v>
      </c>
      <c r="E23">
        <v>4</v>
      </c>
      <c r="F23">
        <v>-2</v>
      </c>
      <c r="G23">
        <v>4990</v>
      </c>
      <c r="J23">
        <v>4990</v>
      </c>
    </row>
    <row r="24" spans="2:10">
      <c r="B24" t="s">
        <v>24</v>
      </c>
      <c r="C24" s="4" t="s">
        <v>48</v>
      </c>
      <c r="D24">
        <v>3</v>
      </c>
      <c r="E24">
        <v>4</v>
      </c>
      <c r="F24">
        <v>-1</v>
      </c>
      <c r="G24">
        <v>9990</v>
      </c>
      <c r="J24">
        <v>9990</v>
      </c>
    </row>
    <row r="25" spans="2:10">
      <c r="B25" t="s">
        <v>25</v>
      </c>
      <c r="C25" s="4" t="s">
        <v>47</v>
      </c>
      <c r="D25">
        <v>5</v>
      </c>
      <c r="E25">
        <v>6</v>
      </c>
      <c r="F25">
        <v>-1</v>
      </c>
      <c r="G25">
        <v>5990</v>
      </c>
      <c r="J25">
        <v>5990</v>
      </c>
    </row>
    <row r="26" spans="2:10">
      <c r="B26" t="s">
        <v>26</v>
      </c>
      <c r="C26" s="4" t="s">
        <v>49</v>
      </c>
      <c r="D26">
        <v>3</v>
      </c>
      <c r="E26">
        <v>6</v>
      </c>
      <c r="F26">
        <v>-3</v>
      </c>
      <c r="G26">
        <v>8990</v>
      </c>
      <c r="J26">
        <f>8990*3</f>
        <v>26970</v>
      </c>
    </row>
    <row r="27" spans="2:10">
      <c r="B27" t="s">
        <v>22</v>
      </c>
      <c r="C27" s="4" t="s">
        <v>50</v>
      </c>
      <c r="D27">
        <v>4</v>
      </c>
      <c r="E27">
        <v>6</v>
      </c>
      <c r="F27">
        <v>-2</v>
      </c>
      <c r="G27">
        <v>8990</v>
      </c>
      <c r="J27">
        <f>8990*2</f>
        <v>17980</v>
      </c>
    </row>
    <row r="28" spans="2:10">
      <c r="B28" t="s">
        <v>27</v>
      </c>
      <c r="C28" s="4" t="s">
        <v>51</v>
      </c>
      <c r="D28">
        <v>3</v>
      </c>
      <c r="E28">
        <v>6</v>
      </c>
      <c r="F28">
        <v>-3</v>
      </c>
      <c r="G28">
        <v>6990</v>
      </c>
      <c r="J28">
        <f>6990*3</f>
        <v>20970</v>
      </c>
    </row>
    <row r="29" spans="2:10">
      <c r="B29" t="s">
        <v>52</v>
      </c>
      <c r="C29" s="4" t="s">
        <v>53</v>
      </c>
      <c r="D29">
        <v>2</v>
      </c>
      <c r="E29">
        <v>5</v>
      </c>
      <c r="F29">
        <v>-3</v>
      </c>
      <c r="G29">
        <v>9990</v>
      </c>
      <c r="J29">
        <f>9990*3</f>
        <v>29970</v>
      </c>
    </row>
    <row r="30" spans="2:10">
      <c r="B30" t="s">
        <v>54</v>
      </c>
      <c r="C30" s="4" t="s">
        <v>55</v>
      </c>
      <c r="D30">
        <v>2</v>
      </c>
      <c r="E30">
        <v>5</v>
      </c>
      <c r="F30">
        <v>-3</v>
      </c>
      <c r="G30">
        <v>6990</v>
      </c>
      <c r="J30">
        <f>6990*3</f>
        <v>20970</v>
      </c>
    </row>
    <row r="31" spans="2:10">
      <c r="B31" t="s">
        <v>56</v>
      </c>
      <c r="C31" s="4" t="s">
        <v>57</v>
      </c>
      <c r="D31">
        <v>10</v>
      </c>
      <c r="E31">
        <v>13</v>
      </c>
      <c r="F31">
        <v>-3</v>
      </c>
      <c r="G31">
        <v>7990</v>
      </c>
      <c r="J31">
        <f>7990*3</f>
        <v>23970</v>
      </c>
    </row>
    <row r="32" spans="2:10">
      <c r="B32" t="s">
        <v>58</v>
      </c>
      <c r="C32" s="4" t="s">
        <v>59</v>
      </c>
      <c r="D32">
        <v>5</v>
      </c>
      <c r="E32">
        <v>6</v>
      </c>
      <c r="F32">
        <v>-1</v>
      </c>
      <c r="G32">
        <v>8990</v>
      </c>
      <c r="J32">
        <v>8990</v>
      </c>
    </row>
    <row r="33" spans="2:10">
      <c r="B33" t="s">
        <v>60</v>
      </c>
      <c r="C33" s="4">
        <v>1511230125</v>
      </c>
      <c r="D33">
        <v>7</v>
      </c>
      <c r="E33">
        <v>8</v>
      </c>
      <c r="F33">
        <v>-1</v>
      </c>
      <c r="G33">
        <v>10990</v>
      </c>
      <c r="J33">
        <v>10990</v>
      </c>
    </row>
    <row r="34" spans="2:10">
      <c r="B34" t="s">
        <v>61</v>
      </c>
      <c r="C34" s="4" t="s">
        <v>298</v>
      </c>
      <c r="D34">
        <v>2</v>
      </c>
      <c r="E34">
        <v>5</v>
      </c>
      <c r="F34">
        <v>-3</v>
      </c>
      <c r="G34">
        <v>12990</v>
      </c>
      <c r="J34">
        <f>12990*3</f>
        <v>38970</v>
      </c>
    </row>
    <row r="35" spans="2:10">
      <c r="B35" t="s">
        <v>63</v>
      </c>
      <c r="C35" s="4" t="s">
        <v>62</v>
      </c>
      <c r="D35">
        <v>4</v>
      </c>
      <c r="E35">
        <v>5</v>
      </c>
      <c r="F35">
        <v>-1</v>
      </c>
      <c r="G35">
        <v>7990</v>
      </c>
      <c r="J35">
        <v>7990</v>
      </c>
    </row>
    <row r="36" spans="2:10">
      <c r="B36" t="s">
        <v>64</v>
      </c>
      <c r="C36" s="4" t="s">
        <v>191</v>
      </c>
      <c r="D36">
        <v>2</v>
      </c>
      <c r="E36">
        <v>5</v>
      </c>
      <c r="F36">
        <v>-3</v>
      </c>
      <c r="G36">
        <v>12990</v>
      </c>
      <c r="J36">
        <f>12990*3</f>
        <v>38970</v>
      </c>
    </row>
    <row r="37" spans="2:10">
      <c r="B37" t="s">
        <v>65</v>
      </c>
      <c r="C37" s="4" t="s">
        <v>299</v>
      </c>
      <c r="D37">
        <v>1</v>
      </c>
      <c r="E37">
        <v>2</v>
      </c>
      <c r="F37" t="s">
        <v>69</v>
      </c>
      <c r="G37">
        <v>49990</v>
      </c>
    </row>
    <row r="38" spans="2:10">
      <c r="B38" t="s">
        <v>66</v>
      </c>
      <c r="C38" s="4" t="s">
        <v>300</v>
      </c>
      <c r="D38">
        <v>3</v>
      </c>
      <c r="E38">
        <v>4</v>
      </c>
      <c r="F38">
        <v>-1</v>
      </c>
      <c r="G38">
        <v>4990</v>
      </c>
      <c r="J38">
        <v>4990</v>
      </c>
    </row>
    <row r="39" spans="2:10">
      <c r="B39" t="s">
        <v>67</v>
      </c>
      <c r="C39" s="4" t="s">
        <v>90</v>
      </c>
      <c r="D39">
        <v>3</v>
      </c>
      <c r="E39">
        <v>1</v>
      </c>
      <c r="F39" t="s">
        <v>68</v>
      </c>
      <c r="G39">
        <v>5990</v>
      </c>
    </row>
    <row r="40" spans="2:10">
      <c r="B40" t="s">
        <v>70</v>
      </c>
      <c r="C40" s="4" t="s">
        <v>190</v>
      </c>
      <c r="D40">
        <v>3</v>
      </c>
      <c r="E40">
        <v>4</v>
      </c>
      <c r="F40">
        <v>-1</v>
      </c>
      <c r="G40">
        <v>5990</v>
      </c>
      <c r="J40">
        <v>5990</v>
      </c>
    </row>
    <row r="41" spans="2:10">
      <c r="B41" t="s">
        <v>71</v>
      </c>
      <c r="C41" s="4">
        <v>27242813984</v>
      </c>
      <c r="D41">
        <v>5</v>
      </c>
      <c r="E41">
        <v>6</v>
      </c>
      <c r="F41">
        <v>-1</v>
      </c>
      <c r="G41">
        <v>9990</v>
      </c>
      <c r="J41">
        <v>9990</v>
      </c>
    </row>
    <row r="42" spans="2:10">
      <c r="B42" t="s">
        <v>72</v>
      </c>
      <c r="C42" s="4" t="s">
        <v>189</v>
      </c>
      <c r="D42">
        <v>4</v>
      </c>
      <c r="E42">
        <v>5</v>
      </c>
      <c r="F42">
        <v>-1</v>
      </c>
      <c r="G42">
        <v>6990</v>
      </c>
      <c r="J42">
        <v>6990</v>
      </c>
    </row>
    <row r="43" spans="2:10">
      <c r="B43" t="s">
        <v>71</v>
      </c>
      <c r="C43" s="4">
        <v>27242868649</v>
      </c>
      <c r="D43">
        <v>6</v>
      </c>
      <c r="E43">
        <v>7</v>
      </c>
      <c r="F43">
        <v>-1</v>
      </c>
      <c r="G43">
        <v>11990</v>
      </c>
      <c r="J43">
        <v>11990</v>
      </c>
    </row>
    <row r="44" spans="2:10">
      <c r="B44" t="s">
        <v>73</v>
      </c>
      <c r="C44" s="4" t="s">
        <v>187</v>
      </c>
      <c r="D44">
        <v>10</v>
      </c>
      <c r="E44">
        <v>14</v>
      </c>
      <c r="F44">
        <v>-4</v>
      </c>
      <c r="G44">
        <v>7990</v>
      </c>
      <c r="J44">
        <f>7990*4</f>
        <v>31960</v>
      </c>
    </row>
    <row r="45" spans="2:10">
      <c r="B45" t="s">
        <v>74</v>
      </c>
      <c r="C45" s="4" t="s">
        <v>186</v>
      </c>
      <c r="D45">
        <v>11</v>
      </c>
      <c r="E45">
        <v>12</v>
      </c>
      <c r="F45">
        <v>-1</v>
      </c>
      <c r="G45">
        <v>14990</v>
      </c>
      <c r="J45">
        <v>14990</v>
      </c>
    </row>
    <row r="46" spans="2:10">
      <c r="B46" t="s">
        <v>75</v>
      </c>
      <c r="C46" s="4" t="s">
        <v>185</v>
      </c>
      <c r="D46">
        <v>6</v>
      </c>
      <c r="E46">
        <v>8</v>
      </c>
      <c r="F46">
        <v>-2</v>
      </c>
      <c r="G46">
        <v>12990</v>
      </c>
      <c r="J46">
        <f>12990*2</f>
        <v>25980</v>
      </c>
    </row>
    <row r="47" spans="2:10">
      <c r="B47" t="s">
        <v>75</v>
      </c>
      <c r="C47" s="4" t="s">
        <v>184</v>
      </c>
      <c r="D47">
        <v>1</v>
      </c>
      <c r="E47">
        <v>2</v>
      </c>
      <c r="F47">
        <v>-1</v>
      </c>
      <c r="G47">
        <v>12990</v>
      </c>
      <c r="J47">
        <v>12990</v>
      </c>
    </row>
    <row r="48" spans="2:10">
      <c r="B48" t="s">
        <v>76</v>
      </c>
      <c r="C48" s="4" t="s">
        <v>188</v>
      </c>
      <c r="D48">
        <v>3</v>
      </c>
      <c r="E48">
        <v>6</v>
      </c>
      <c r="F48">
        <v>-3</v>
      </c>
      <c r="G48">
        <v>8990</v>
      </c>
      <c r="J48">
        <f>8990*3</f>
        <v>26970</v>
      </c>
    </row>
    <row r="49" spans="2:10">
      <c r="B49" t="s">
        <v>77</v>
      </c>
      <c r="C49" s="4">
        <v>25215504877</v>
      </c>
      <c r="D49">
        <v>2</v>
      </c>
      <c r="E49">
        <v>9</v>
      </c>
      <c r="F49">
        <v>-7</v>
      </c>
      <c r="G49">
        <v>23990</v>
      </c>
      <c r="J49">
        <f>23990*7</f>
        <v>167930</v>
      </c>
    </row>
    <row r="50" spans="2:10">
      <c r="B50" t="s">
        <v>78</v>
      </c>
      <c r="C50" s="4">
        <v>25215503993</v>
      </c>
      <c r="D50">
        <v>5</v>
      </c>
      <c r="E50">
        <v>6</v>
      </c>
      <c r="F50">
        <v>-1</v>
      </c>
      <c r="G50">
        <v>19990</v>
      </c>
      <c r="J50">
        <v>19990</v>
      </c>
    </row>
    <row r="51" spans="2:10">
      <c r="B51" t="s">
        <v>79</v>
      </c>
      <c r="C51" s="4">
        <v>1522250612</v>
      </c>
      <c r="D51">
        <v>2</v>
      </c>
      <c r="E51">
        <v>3</v>
      </c>
      <c r="F51">
        <v>-1</v>
      </c>
      <c r="G51">
        <v>19990</v>
      </c>
      <c r="J51">
        <v>19990</v>
      </c>
    </row>
    <row r="52" spans="2:10">
      <c r="B52" t="s">
        <v>70</v>
      </c>
      <c r="C52" s="4" t="s">
        <v>183</v>
      </c>
      <c r="D52">
        <v>0</v>
      </c>
      <c r="E52">
        <v>1</v>
      </c>
      <c r="F52" t="s">
        <v>69</v>
      </c>
      <c r="G52">
        <v>8990</v>
      </c>
    </row>
    <row r="53" spans="2:10">
      <c r="B53" t="s">
        <v>80</v>
      </c>
      <c r="C53" s="4">
        <v>1503241010</v>
      </c>
      <c r="D53">
        <v>2</v>
      </c>
      <c r="E53">
        <v>4</v>
      </c>
      <c r="F53">
        <v>-2</v>
      </c>
      <c r="G53">
        <v>15990</v>
      </c>
      <c r="J53">
        <f>15990*2</f>
        <v>31980</v>
      </c>
    </row>
    <row r="54" spans="2:10">
      <c r="B54" t="s">
        <v>81</v>
      </c>
      <c r="C54" s="4">
        <v>1538241219</v>
      </c>
      <c r="D54">
        <v>3</v>
      </c>
      <c r="E54">
        <v>6</v>
      </c>
      <c r="F54">
        <v>-3</v>
      </c>
      <c r="G54">
        <v>14990</v>
      </c>
      <c r="J54">
        <f>14990*3</f>
        <v>44970</v>
      </c>
    </row>
    <row r="55" spans="2:10">
      <c r="B55" t="s">
        <v>82</v>
      </c>
      <c r="C55" s="4" t="s">
        <v>192</v>
      </c>
      <c r="D55">
        <v>3</v>
      </c>
      <c r="E55">
        <v>6</v>
      </c>
      <c r="F55">
        <v>-3</v>
      </c>
      <c r="G55">
        <v>10990</v>
      </c>
      <c r="J55">
        <f>10990*3</f>
        <v>32970</v>
      </c>
    </row>
    <row r="56" spans="2:10">
      <c r="B56" t="s">
        <v>66</v>
      </c>
      <c r="C56" s="4">
        <v>25215494116</v>
      </c>
      <c r="D56">
        <v>1</v>
      </c>
      <c r="E56">
        <v>2</v>
      </c>
      <c r="F56">
        <v>-1</v>
      </c>
      <c r="G56">
        <v>3990</v>
      </c>
      <c r="J56">
        <v>3990</v>
      </c>
    </row>
    <row r="57" spans="2:10">
      <c r="B57" t="s">
        <v>83</v>
      </c>
      <c r="C57" s="4">
        <v>2111240902</v>
      </c>
      <c r="D57">
        <v>1</v>
      </c>
      <c r="E57">
        <v>2</v>
      </c>
      <c r="F57">
        <v>-1</v>
      </c>
      <c r="G57">
        <v>9990</v>
      </c>
      <c r="J57">
        <v>9990</v>
      </c>
    </row>
    <row r="58" spans="2:10">
      <c r="B58" t="s">
        <v>84</v>
      </c>
      <c r="C58" s="4" t="s">
        <v>182</v>
      </c>
      <c r="D58">
        <v>2</v>
      </c>
      <c r="E58">
        <v>5</v>
      </c>
      <c r="F58">
        <v>-3</v>
      </c>
      <c r="G58">
        <v>7990</v>
      </c>
      <c r="J58">
        <f>7990*3</f>
        <v>23970</v>
      </c>
    </row>
    <row r="59" spans="2:10">
      <c r="B59" t="s">
        <v>84</v>
      </c>
      <c r="C59" s="4" t="s">
        <v>181</v>
      </c>
      <c r="D59">
        <v>2</v>
      </c>
      <c r="E59">
        <v>6</v>
      </c>
      <c r="F59">
        <v>-4</v>
      </c>
      <c r="G59">
        <v>7990</v>
      </c>
      <c r="J59">
        <f>7990*4</f>
        <v>31960</v>
      </c>
    </row>
    <row r="60" spans="2:10">
      <c r="B60" t="s">
        <v>85</v>
      </c>
      <c r="C60" s="4">
        <v>1508250805</v>
      </c>
      <c r="D60">
        <v>1</v>
      </c>
      <c r="E60">
        <v>2</v>
      </c>
      <c r="F60">
        <v>-1</v>
      </c>
      <c r="G60">
        <v>16990</v>
      </c>
      <c r="J60">
        <v>16990</v>
      </c>
    </row>
    <row r="61" spans="2:10">
      <c r="B61" t="s">
        <v>86</v>
      </c>
      <c r="C61" s="4">
        <v>2039250805</v>
      </c>
      <c r="D61">
        <v>2</v>
      </c>
      <c r="E61">
        <v>4</v>
      </c>
      <c r="F61">
        <v>-2</v>
      </c>
      <c r="G61">
        <v>19990</v>
      </c>
      <c r="J61">
        <f>19990*2</f>
        <v>39980</v>
      </c>
    </row>
    <row r="62" spans="2:10">
      <c r="B62" t="s">
        <v>87</v>
      </c>
      <c r="C62" s="4">
        <v>25215493584</v>
      </c>
      <c r="D62">
        <v>6</v>
      </c>
      <c r="E62">
        <v>7</v>
      </c>
      <c r="F62">
        <v>-1</v>
      </c>
      <c r="G62">
        <v>10990</v>
      </c>
      <c r="J62">
        <v>10990</v>
      </c>
    </row>
    <row r="63" spans="2:10">
      <c r="B63" t="s">
        <v>88</v>
      </c>
      <c r="C63" s="4">
        <v>2022230930</v>
      </c>
      <c r="D63">
        <v>1</v>
      </c>
      <c r="E63">
        <v>2</v>
      </c>
      <c r="F63">
        <v>-1</v>
      </c>
      <c r="G63">
        <v>9990</v>
      </c>
      <c r="J63">
        <v>9990</v>
      </c>
    </row>
    <row r="64" spans="2:10">
      <c r="B64" t="s">
        <v>89</v>
      </c>
      <c r="C64" s="4" t="s">
        <v>180</v>
      </c>
      <c r="D64">
        <v>2</v>
      </c>
      <c r="E64">
        <v>3</v>
      </c>
      <c r="F64">
        <v>-1</v>
      </c>
      <c r="G64">
        <v>9990</v>
      </c>
      <c r="J64">
        <v>9990</v>
      </c>
    </row>
    <row r="65" spans="2:10">
      <c r="B65" t="s">
        <v>91</v>
      </c>
      <c r="C65" s="4" t="s">
        <v>92</v>
      </c>
      <c r="D65">
        <v>1</v>
      </c>
      <c r="E65">
        <v>2</v>
      </c>
      <c r="F65">
        <v>-1</v>
      </c>
      <c r="G65">
        <v>14990</v>
      </c>
      <c r="J65" s="7">
        <v>14990</v>
      </c>
    </row>
    <row r="66" spans="2:10">
      <c r="B66" t="s">
        <v>93</v>
      </c>
      <c r="C66" s="4" t="s">
        <v>94</v>
      </c>
      <c r="D66">
        <v>1</v>
      </c>
      <c r="E66">
        <v>4</v>
      </c>
      <c r="F66">
        <v>-3</v>
      </c>
      <c r="G66">
        <v>49990</v>
      </c>
      <c r="J66" s="6">
        <f>49990*3</f>
        <v>149970</v>
      </c>
    </row>
    <row r="67" spans="2:10">
      <c r="B67" t="s">
        <v>95</v>
      </c>
      <c r="C67" s="4" t="s">
        <v>179</v>
      </c>
      <c r="D67">
        <v>0</v>
      </c>
      <c r="E67">
        <v>2</v>
      </c>
      <c r="F67">
        <v>-2</v>
      </c>
      <c r="G67">
        <v>22990</v>
      </c>
      <c r="J67" s="7">
        <f>22990*2</f>
        <v>45980</v>
      </c>
    </row>
    <row r="68" spans="2:10">
      <c r="B68" t="s">
        <v>96</v>
      </c>
      <c r="C68" s="4" t="s">
        <v>178</v>
      </c>
      <c r="D68">
        <v>0</v>
      </c>
      <c r="E68">
        <v>1</v>
      </c>
      <c r="F68">
        <v>-1</v>
      </c>
      <c r="G68">
        <v>49990</v>
      </c>
      <c r="J68" s="6">
        <v>49990</v>
      </c>
    </row>
    <row r="69" spans="2:10">
      <c r="B69" t="s">
        <v>97</v>
      </c>
      <c r="C69" s="4" t="s">
        <v>98</v>
      </c>
      <c r="D69">
        <v>0</v>
      </c>
      <c r="E69">
        <v>1</v>
      </c>
      <c r="F69">
        <v>-1</v>
      </c>
      <c r="G69">
        <v>23990</v>
      </c>
      <c r="J69" s="7">
        <v>23990</v>
      </c>
    </row>
    <row r="70" spans="2:10">
      <c r="B70" t="s">
        <v>99</v>
      </c>
      <c r="C70" s="4" t="s">
        <v>100</v>
      </c>
      <c r="D70">
        <v>0</v>
      </c>
      <c r="E70">
        <v>1</v>
      </c>
      <c r="F70">
        <v>-1</v>
      </c>
      <c r="G70">
        <v>22990</v>
      </c>
      <c r="J70" s="6">
        <v>22990</v>
      </c>
    </row>
    <row r="71" spans="2:10">
      <c r="B71" t="s">
        <v>101</v>
      </c>
      <c r="C71" s="4" t="s">
        <v>102</v>
      </c>
      <c r="D71">
        <v>5</v>
      </c>
      <c r="E71">
        <v>6</v>
      </c>
      <c r="F71">
        <v>-1</v>
      </c>
      <c r="G71">
        <v>16990</v>
      </c>
      <c r="J71" s="7">
        <v>16990</v>
      </c>
    </row>
    <row r="72" spans="2:10">
      <c r="B72" t="s">
        <v>103</v>
      </c>
      <c r="C72" s="4" t="s">
        <v>104</v>
      </c>
      <c r="D72">
        <v>3</v>
      </c>
      <c r="E72">
        <v>6</v>
      </c>
      <c r="F72">
        <v>-3</v>
      </c>
      <c r="G72">
        <v>10990</v>
      </c>
      <c r="J72" s="6">
        <f>10990*3</f>
        <v>32970</v>
      </c>
    </row>
    <row r="73" spans="2:10">
      <c r="B73" t="s">
        <v>105</v>
      </c>
      <c r="C73" s="4" t="s">
        <v>106</v>
      </c>
      <c r="D73">
        <v>0</v>
      </c>
      <c r="E73">
        <v>10</v>
      </c>
      <c r="F73">
        <v>-10</v>
      </c>
      <c r="G73">
        <v>10990</v>
      </c>
      <c r="J73" s="7">
        <f>10990*10</f>
        <v>109900</v>
      </c>
    </row>
    <row r="74" spans="2:10">
      <c r="B74" t="s">
        <v>107</v>
      </c>
      <c r="C74" s="4" t="s">
        <v>108</v>
      </c>
      <c r="D74">
        <v>0</v>
      </c>
      <c r="E74">
        <v>3</v>
      </c>
      <c r="F74">
        <v>-3</v>
      </c>
      <c r="G74">
        <v>10990</v>
      </c>
      <c r="J74" s="6">
        <f>10990*3</f>
        <v>32970</v>
      </c>
    </row>
    <row r="75" spans="2:10">
      <c r="B75" t="s">
        <v>109</v>
      </c>
      <c r="C75" s="4" t="s">
        <v>110</v>
      </c>
      <c r="D75">
        <v>0</v>
      </c>
      <c r="E75">
        <v>1</v>
      </c>
      <c r="F75">
        <v>-1</v>
      </c>
      <c r="G75">
        <v>10990</v>
      </c>
      <c r="J75" s="7">
        <v>10990</v>
      </c>
    </row>
    <row r="76" spans="2:10">
      <c r="B76" t="s">
        <v>111</v>
      </c>
      <c r="C76" s="4" t="s">
        <v>196</v>
      </c>
      <c r="D76">
        <v>0</v>
      </c>
      <c r="E76">
        <v>6</v>
      </c>
      <c r="F76">
        <v>-6</v>
      </c>
      <c r="G76">
        <v>34990</v>
      </c>
      <c r="J76" s="6">
        <f>34990*6</f>
        <v>209940</v>
      </c>
    </row>
    <row r="77" spans="2:10">
      <c r="B77" t="s">
        <v>112</v>
      </c>
      <c r="C77" s="4" t="s">
        <v>195</v>
      </c>
      <c r="D77">
        <v>0</v>
      </c>
      <c r="E77">
        <v>4</v>
      </c>
      <c r="F77">
        <v>-4</v>
      </c>
      <c r="G77">
        <v>26990</v>
      </c>
      <c r="J77" s="7">
        <f>26990*4</f>
        <v>107960</v>
      </c>
    </row>
    <row r="78" spans="2:10">
      <c r="B78" t="s">
        <v>112</v>
      </c>
      <c r="C78" s="4" t="s">
        <v>194</v>
      </c>
      <c r="D78">
        <v>0</v>
      </c>
      <c r="E78">
        <v>3</v>
      </c>
      <c r="F78">
        <v>-3</v>
      </c>
      <c r="G78">
        <v>23990</v>
      </c>
      <c r="J78" s="6">
        <f>23990*3</f>
        <v>71970</v>
      </c>
    </row>
    <row r="79" spans="2:10">
      <c r="B79" t="s">
        <v>112</v>
      </c>
      <c r="C79" s="4" t="s">
        <v>113</v>
      </c>
      <c r="D79">
        <v>0</v>
      </c>
      <c r="E79">
        <v>3</v>
      </c>
      <c r="F79">
        <v>-3</v>
      </c>
      <c r="G79">
        <v>5990</v>
      </c>
      <c r="J79" s="7">
        <f>5990*3</f>
        <v>17970</v>
      </c>
    </row>
    <row r="80" spans="2:10">
      <c r="B80" t="s">
        <v>114</v>
      </c>
      <c r="C80" s="4" t="s">
        <v>115</v>
      </c>
      <c r="D80">
        <v>1</v>
      </c>
      <c r="E80">
        <v>2</v>
      </c>
      <c r="F80">
        <v>-1</v>
      </c>
      <c r="G80">
        <v>54990</v>
      </c>
      <c r="J80" s="6">
        <v>54990</v>
      </c>
    </row>
    <row r="81" spans="2:10">
      <c r="B81" t="s">
        <v>116</v>
      </c>
      <c r="C81" s="4" t="s">
        <v>193</v>
      </c>
      <c r="D81">
        <v>0</v>
      </c>
      <c r="E81">
        <v>1</v>
      </c>
      <c r="F81">
        <v>-1</v>
      </c>
      <c r="G81">
        <v>19990</v>
      </c>
      <c r="J81" s="7">
        <v>19990</v>
      </c>
    </row>
    <row r="82" spans="2:10">
      <c r="B82" t="s">
        <v>117</v>
      </c>
      <c r="C82" s="4" t="s">
        <v>118</v>
      </c>
      <c r="D82">
        <v>0</v>
      </c>
      <c r="E82">
        <v>1</v>
      </c>
      <c r="F82">
        <v>-1</v>
      </c>
      <c r="G82">
        <v>28990</v>
      </c>
      <c r="J82" s="6">
        <v>28990</v>
      </c>
    </row>
    <row r="83" spans="2:10">
      <c r="B83" t="s">
        <v>119</v>
      </c>
      <c r="C83" s="4" t="s">
        <v>120</v>
      </c>
      <c r="D83">
        <v>0</v>
      </c>
      <c r="E83">
        <v>1</v>
      </c>
      <c r="F83">
        <v>-1</v>
      </c>
      <c r="G83">
        <v>28990</v>
      </c>
      <c r="J83" s="7">
        <v>28990</v>
      </c>
    </row>
    <row r="84" spans="2:10">
      <c r="B84" t="s">
        <v>114</v>
      </c>
      <c r="C84" s="4" t="s">
        <v>121</v>
      </c>
      <c r="D84">
        <v>0</v>
      </c>
      <c r="E84">
        <v>1</v>
      </c>
      <c r="F84">
        <v>-1</v>
      </c>
      <c r="G84">
        <v>49990</v>
      </c>
      <c r="J84" s="6">
        <v>49990</v>
      </c>
    </row>
    <row r="85" spans="2:10">
      <c r="B85" t="s">
        <v>112</v>
      </c>
      <c r="C85" s="4" t="s">
        <v>122</v>
      </c>
      <c r="D85">
        <v>0</v>
      </c>
      <c r="E85">
        <v>1</v>
      </c>
      <c r="F85">
        <v>-1</v>
      </c>
      <c r="G85">
        <v>3990</v>
      </c>
      <c r="J85" s="7">
        <v>3990</v>
      </c>
    </row>
    <row r="86" spans="2:10">
      <c r="B86" t="s">
        <v>123</v>
      </c>
      <c r="C86" s="4" t="s">
        <v>124</v>
      </c>
      <c r="D86">
        <v>0</v>
      </c>
      <c r="E86">
        <v>1</v>
      </c>
      <c r="F86">
        <v>-1</v>
      </c>
      <c r="G86">
        <v>25990</v>
      </c>
      <c r="J86" s="6">
        <v>25990</v>
      </c>
    </row>
    <row r="87" spans="2:10">
      <c r="B87" t="s">
        <v>125</v>
      </c>
      <c r="C87" s="4" t="s">
        <v>126</v>
      </c>
      <c r="D87">
        <v>0</v>
      </c>
      <c r="E87">
        <v>1</v>
      </c>
      <c r="F87">
        <v>-1</v>
      </c>
      <c r="G87">
        <v>39990</v>
      </c>
      <c r="J87" s="7">
        <v>39990</v>
      </c>
    </row>
    <row r="88" spans="2:10">
      <c r="B88" t="s">
        <v>127</v>
      </c>
      <c r="C88" s="4" t="s">
        <v>128</v>
      </c>
      <c r="D88">
        <v>0</v>
      </c>
      <c r="E88">
        <v>1</v>
      </c>
      <c r="F88">
        <v>-1</v>
      </c>
      <c r="G88">
        <v>42990</v>
      </c>
      <c r="J88" s="6">
        <v>42990</v>
      </c>
    </row>
    <row r="89" spans="2:10">
      <c r="B89" t="s">
        <v>129</v>
      </c>
      <c r="C89" s="4" t="s">
        <v>130</v>
      </c>
      <c r="D89">
        <v>0</v>
      </c>
      <c r="E89">
        <v>1</v>
      </c>
      <c r="F89">
        <v>-1</v>
      </c>
      <c r="G89">
        <v>99990</v>
      </c>
      <c r="J89" s="7">
        <v>99990</v>
      </c>
    </row>
    <row r="90" spans="2:10">
      <c r="B90" t="s">
        <v>112</v>
      </c>
      <c r="C90" s="4" t="s">
        <v>131</v>
      </c>
      <c r="D90">
        <v>0</v>
      </c>
      <c r="E90">
        <v>1</v>
      </c>
      <c r="F90">
        <v>-1</v>
      </c>
      <c r="G90">
        <v>41990</v>
      </c>
      <c r="J90" s="6">
        <v>41990</v>
      </c>
    </row>
    <row r="91" spans="2:10">
      <c r="B91" t="s">
        <v>132</v>
      </c>
      <c r="C91" s="4" t="s">
        <v>133</v>
      </c>
      <c r="D91">
        <v>0</v>
      </c>
      <c r="E91">
        <v>1</v>
      </c>
      <c r="F91">
        <v>-1</v>
      </c>
      <c r="G91">
        <v>5990</v>
      </c>
      <c r="J91" s="7">
        <v>5990</v>
      </c>
    </row>
    <row r="92" spans="2:10">
      <c r="B92" t="s">
        <v>134</v>
      </c>
      <c r="C92" s="4">
        <v>1801241023</v>
      </c>
      <c r="D92">
        <v>4</v>
      </c>
      <c r="E92">
        <v>7</v>
      </c>
      <c r="F92">
        <v>-3</v>
      </c>
      <c r="G92">
        <v>12990</v>
      </c>
      <c r="J92" s="6">
        <f>12990*3</f>
        <v>38970</v>
      </c>
    </row>
    <row r="93" spans="2:10">
      <c r="B93" t="s">
        <v>136</v>
      </c>
      <c r="C93" s="4" t="s">
        <v>135</v>
      </c>
      <c r="D93">
        <v>3</v>
      </c>
      <c r="E93">
        <v>4</v>
      </c>
      <c r="F93">
        <v>-1</v>
      </c>
      <c r="G93">
        <v>7990</v>
      </c>
      <c r="J93" s="7">
        <v>7990</v>
      </c>
    </row>
    <row r="94" spans="2:10">
      <c r="B94" t="s">
        <v>137</v>
      </c>
      <c r="C94" s="4" t="s">
        <v>138</v>
      </c>
      <c r="D94">
        <v>1</v>
      </c>
      <c r="E94">
        <v>2</v>
      </c>
      <c r="F94">
        <v>-1</v>
      </c>
      <c r="G94">
        <v>10990</v>
      </c>
      <c r="J94" s="6">
        <v>10990</v>
      </c>
    </row>
    <row r="95" spans="2:10">
      <c r="B95" t="s">
        <v>139</v>
      </c>
      <c r="C95" s="4" t="s">
        <v>140</v>
      </c>
      <c r="D95">
        <v>2</v>
      </c>
      <c r="E95">
        <v>3</v>
      </c>
      <c r="F95">
        <v>-1</v>
      </c>
      <c r="G95">
        <v>12990</v>
      </c>
      <c r="J95" s="7">
        <v>12990</v>
      </c>
    </row>
    <row r="96" spans="2:10">
      <c r="B96" t="s">
        <v>141</v>
      </c>
      <c r="C96" s="4" t="s">
        <v>142</v>
      </c>
      <c r="D96">
        <v>0</v>
      </c>
      <c r="E96">
        <v>1</v>
      </c>
      <c r="F96">
        <v>-1</v>
      </c>
      <c r="G96">
        <v>12990</v>
      </c>
      <c r="J96" s="6">
        <v>12990</v>
      </c>
    </row>
    <row r="97" spans="2:10">
      <c r="B97" t="s">
        <v>143</v>
      </c>
      <c r="C97" s="4" t="s">
        <v>144</v>
      </c>
      <c r="D97">
        <v>0</v>
      </c>
      <c r="E97">
        <v>1</v>
      </c>
      <c r="F97">
        <v>-1</v>
      </c>
      <c r="G97">
        <v>12990</v>
      </c>
      <c r="J97" s="7">
        <v>12990</v>
      </c>
    </row>
    <row r="98" spans="2:10">
      <c r="B98" t="s">
        <v>145</v>
      </c>
      <c r="C98" s="4" t="s">
        <v>146</v>
      </c>
      <c r="D98">
        <v>1</v>
      </c>
      <c r="E98">
        <v>2</v>
      </c>
      <c r="F98">
        <v>-1</v>
      </c>
      <c r="G98">
        <v>59990</v>
      </c>
      <c r="J98" s="6">
        <v>59990</v>
      </c>
    </row>
    <row r="99" spans="2:10">
      <c r="B99" t="s">
        <v>148</v>
      </c>
      <c r="C99" s="4" t="s">
        <v>147</v>
      </c>
      <c r="D99">
        <v>3</v>
      </c>
      <c r="E99">
        <v>4</v>
      </c>
      <c r="F99">
        <v>-1</v>
      </c>
      <c r="G99">
        <v>12990</v>
      </c>
      <c r="J99" s="7">
        <v>12990</v>
      </c>
    </row>
    <row r="100" spans="2:10">
      <c r="B100" t="s">
        <v>151</v>
      </c>
      <c r="C100" s="4" t="s">
        <v>149</v>
      </c>
      <c r="D100">
        <v>3</v>
      </c>
      <c r="E100">
        <v>5</v>
      </c>
      <c r="F100">
        <v>-2</v>
      </c>
      <c r="G100">
        <v>12990</v>
      </c>
      <c r="J100" s="6">
        <f>12990*2</f>
        <v>25980</v>
      </c>
    </row>
    <row r="101" spans="2:10">
      <c r="B101" t="s">
        <v>150</v>
      </c>
      <c r="C101" s="4" t="s">
        <v>197</v>
      </c>
      <c r="D101">
        <v>4</v>
      </c>
      <c r="E101">
        <v>5</v>
      </c>
      <c r="F101">
        <v>-1</v>
      </c>
      <c r="G101">
        <v>6990</v>
      </c>
      <c r="J101" s="7">
        <v>6990</v>
      </c>
    </row>
    <row r="102" spans="2:10">
      <c r="B102" t="s">
        <v>152</v>
      </c>
      <c r="C102" s="4" t="s">
        <v>153</v>
      </c>
      <c r="D102">
        <v>1</v>
      </c>
      <c r="E102">
        <v>3</v>
      </c>
      <c r="F102">
        <v>-2</v>
      </c>
      <c r="G102">
        <v>6990</v>
      </c>
      <c r="J102" s="6">
        <f>6990*2</f>
        <v>13980</v>
      </c>
    </row>
    <row r="103" spans="2:10">
      <c r="B103" t="s">
        <v>154</v>
      </c>
      <c r="C103" s="4" t="s">
        <v>155</v>
      </c>
      <c r="D103">
        <v>4</v>
      </c>
      <c r="E103">
        <v>5</v>
      </c>
      <c r="F103">
        <v>-1</v>
      </c>
      <c r="G103">
        <v>8990</v>
      </c>
      <c r="J103" s="7">
        <v>8990</v>
      </c>
    </row>
    <row r="104" spans="2:10">
      <c r="B104" t="s">
        <v>156</v>
      </c>
      <c r="C104" s="4" t="s">
        <v>157</v>
      </c>
      <c r="D104">
        <v>2</v>
      </c>
      <c r="E104">
        <v>4</v>
      </c>
      <c r="F104">
        <v>-2</v>
      </c>
      <c r="G104">
        <v>6990</v>
      </c>
      <c r="J104" s="6">
        <f>6990*2</f>
        <v>13980</v>
      </c>
    </row>
    <row r="105" spans="2:10">
      <c r="B105" t="s">
        <v>158</v>
      </c>
      <c r="C105" s="4" t="s">
        <v>159</v>
      </c>
      <c r="D105">
        <v>0</v>
      </c>
      <c r="E105">
        <v>2</v>
      </c>
      <c r="F105">
        <v>-2</v>
      </c>
      <c r="G105">
        <v>5990</v>
      </c>
      <c r="J105" s="7">
        <f>5990*2</f>
        <v>11980</v>
      </c>
    </row>
    <row r="106" spans="2:10">
      <c r="B106" t="s">
        <v>160</v>
      </c>
      <c r="C106" s="4" t="s">
        <v>161</v>
      </c>
      <c r="D106">
        <v>2</v>
      </c>
      <c r="E106">
        <v>3</v>
      </c>
      <c r="F106">
        <v>-1</v>
      </c>
      <c r="G106">
        <v>12990</v>
      </c>
      <c r="J106" s="6">
        <v>12990</v>
      </c>
    </row>
    <row r="107" spans="2:10">
      <c r="B107" t="s">
        <v>162</v>
      </c>
      <c r="C107" s="4" t="s">
        <v>163</v>
      </c>
      <c r="D107">
        <v>1</v>
      </c>
      <c r="E107">
        <v>2</v>
      </c>
      <c r="F107">
        <v>-1</v>
      </c>
      <c r="G107">
        <v>12990</v>
      </c>
      <c r="J107" s="7">
        <v>12990</v>
      </c>
    </row>
    <row r="108" spans="2:10">
      <c r="B108" t="s">
        <v>165</v>
      </c>
      <c r="C108" s="4" t="s">
        <v>166</v>
      </c>
      <c r="D108">
        <v>4</v>
      </c>
      <c r="E108">
        <v>5</v>
      </c>
      <c r="F108">
        <v>-1</v>
      </c>
      <c r="G108">
        <v>12990</v>
      </c>
      <c r="J108" s="7">
        <v>12990</v>
      </c>
    </row>
    <row r="109" spans="2:10">
      <c r="B109" t="s">
        <v>167</v>
      </c>
      <c r="C109" s="4" t="s">
        <v>168</v>
      </c>
      <c r="D109">
        <v>2</v>
      </c>
      <c r="E109">
        <v>3</v>
      </c>
      <c r="F109">
        <v>-1</v>
      </c>
      <c r="G109">
        <v>39990</v>
      </c>
      <c r="J109" s="6">
        <v>39990</v>
      </c>
    </row>
    <row r="110" spans="2:10">
      <c r="B110" t="s">
        <v>169</v>
      </c>
      <c r="C110" s="4" t="s">
        <v>170</v>
      </c>
      <c r="D110">
        <v>29</v>
      </c>
      <c r="E110">
        <v>38</v>
      </c>
      <c r="F110">
        <v>-9</v>
      </c>
      <c r="G110">
        <v>10990</v>
      </c>
      <c r="J110" s="7">
        <f>(G110*9)</f>
        <v>98910</v>
      </c>
    </row>
    <row r="111" spans="2:10">
      <c r="B111" t="s">
        <v>171</v>
      </c>
      <c r="C111" s="4" t="s">
        <v>172</v>
      </c>
      <c r="D111">
        <v>1</v>
      </c>
      <c r="E111">
        <v>2</v>
      </c>
      <c r="F111">
        <v>-1</v>
      </c>
      <c r="G111">
        <v>8990</v>
      </c>
      <c r="J111" s="6">
        <v>8990</v>
      </c>
    </row>
    <row r="112" spans="2:10">
      <c r="B112" t="s">
        <v>173</v>
      </c>
      <c r="C112" s="4" t="s">
        <v>174</v>
      </c>
      <c r="D112">
        <v>3</v>
      </c>
      <c r="E112">
        <v>4</v>
      </c>
      <c r="F112">
        <v>-1</v>
      </c>
      <c r="G112">
        <v>12990</v>
      </c>
      <c r="J112" s="7">
        <v>12990</v>
      </c>
    </row>
    <row r="113" spans="2:10">
      <c r="B113" t="s">
        <v>175</v>
      </c>
      <c r="C113" s="4" t="s">
        <v>176</v>
      </c>
      <c r="D113">
        <v>1</v>
      </c>
      <c r="E113">
        <v>2</v>
      </c>
      <c r="F113">
        <v>-1</v>
      </c>
      <c r="G113">
        <v>32990</v>
      </c>
      <c r="J113" s="6">
        <v>32990</v>
      </c>
    </row>
    <row r="114" spans="2:10">
      <c r="B114" t="s">
        <v>177</v>
      </c>
      <c r="C114" s="4" t="s">
        <v>200</v>
      </c>
      <c r="D114">
        <v>0</v>
      </c>
      <c r="E114">
        <v>1</v>
      </c>
      <c r="F114">
        <v>-1</v>
      </c>
      <c r="G114">
        <v>29990</v>
      </c>
      <c r="J114" s="7">
        <v>29990</v>
      </c>
    </row>
    <row r="115" spans="2:10">
      <c r="B115" t="s">
        <v>202</v>
      </c>
      <c r="C115" s="4" t="s">
        <v>201</v>
      </c>
      <c r="D115">
        <v>0</v>
      </c>
      <c r="E115">
        <v>1</v>
      </c>
      <c r="F115">
        <v>-1</v>
      </c>
      <c r="G115">
        <v>23990</v>
      </c>
      <c r="J115" s="6">
        <v>23990</v>
      </c>
    </row>
    <row r="116" spans="2:10">
      <c r="B116" t="s">
        <v>203</v>
      </c>
      <c r="C116" s="4" t="s">
        <v>204</v>
      </c>
      <c r="D116">
        <v>0</v>
      </c>
      <c r="E116">
        <v>3</v>
      </c>
      <c r="F116">
        <v>-3</v>
      </c>
      <c r="G116">
        <v>24990</v>
      </c>
      <c r="J116" s="7">
        <f>(24990*3)</f>
        <v>74970</v>
      </c>
    </row>
    <row r="117" spans="2:10">
      <c r="B117" t="s">
        <v>205</v>
      </c>
      <c r="C117" s="4" t="s">
        <v>206</v>
      </c>
      <c r="D117">
        <v>0</v>
      </c>
      <c r="E117">
        <v>1</v>
      </c>
      <c r="F117">
        <v>-1</v>
      </c>
      <c r="G117">
        <v>22990</v>
      </c>
      <c r="J117" s="6">
        <v>22990</v>
      </c>
    </row>
    <row r="118" spans="2:10">
      <c r="B118" t="s">
        <v>207</v>
      </c>
      <c r="C118" s="4" t="s">
        <v>208</v>
      </c>
      <c r="D118">
        <v>0</v>
      </c>
      <c r="E118">
        <v>1</v>
      </c>
      <c r="F118">
        <v>-1</v>
      </c>
      <c r="G118">
        <v>19990</v>
      </c>
      <c r="J118" s="7">
        <v>19990</v>
      </c>
    </row>
    <row r="119" spans="2:10">
      <c r="B119" t="s">
        <v>209</v>
      </c>
      <c r="C119" s="4" t="s">
        <v>210</v>
      </c>
      <c r="D119">
        <v>0</v>
      </c>
      <c r="E119">
        <v>1</v>
      </c>
      <c r="F119">
        <v>-1</v>
      </c>
      <c r="G119">
        <v>6990</v>
      </c>
      <c r="J119" s="6">
        <v>6990</v>
      </c>
    </row>
    <row r="120" spans="2:10">
      <c r="B120" t="s">
        <v>211</v>
      </c>
      <c r="C120" s="4" t="s">
        <v>212</v>
      </c>
      <c r="D120">
        <v>0</v>
      </c>
      <c r="E120">
        <v>1</v>
      </c>
      <c r="F120">
        <v>-1</v>
      </c>
      <c r="G120">
        <v>12990</v>
      </c>
      <c r="J120" s="7">
        <v>12990</v>
      </c>
    </row>
    <row r="121" spans="2:10">
      <c r="B121" t="s">
        <v>213</v>
      </c>
      <c r="C121" s="4" t="s">
        <v>214</v>
      </c>
      <c r="D121">
        <v>0</v>
      </c>
      <c r="E121">
        <v>1</v>
      </c>
      <c r="F121">
        <v>-1</v>
      </c>
      <c r="G121">
        <v>12990</v>
      </c>
      <c r="J121" s="6">
        <v>12990</v>
      </c>
    </row>
    <row r="122" spans="2:10">
      <c r="B122" t="s">
        <v>75</v>
      </c>
      <c r="C122" s="4" t="s">
        <v>215</v>
      </c>
      <c r="D122">
        <v>0</v>
      </c>
      <c r="E122">
        <v>1</v>
      </c>
      <c r="F122">
        <v>-1</v>
      </c>
      <c r="G122">
        <v>29990</v>
      </c>
      <c r="J122" s="7">
        <v>29990</v>
      </c>
    </row>
    <row r="123" spans="2:10">
      <c r="B123" t="s">
        <v>216</v>
      </c>
      <c r="C123" s="4" t="s">
        <v>217</v>
      </c>
      <c r="D123">
        <v>0</v>
      </c>
      <c r="E123">
        <v>1</v>
      </c>
      <c r="F123">
        <v>-1</v>
      </c>
      <c r="G123">
        <v>12990</v>
      </c>
      <c r="J123" s="6">
        <v>12990</v>
      </c>
    </row>
    <row r="124" spans="2:10">
      <c r="B124" t="s">
        <v>27</v>
      </c>
      <c r="C124" s="4" t="s">
        <v>218</v>
      </c>
      <c r="D124">
        <v>0</v>
      </c>
      <c r="E124">
        <v>1</v>
      </c>
      <c r="F124">
        <v>-1</v>
      </c>
      <c r="G124">
        <v>4990</v>
      </c>
      <c r="J124" s="7">
        <v>4990</v>
      </c>
    </row>
    <row r="125" spans="2:10">
      <c r="B125" t="s">
        <v>18</v>
      </c>
      <c r="C125" s="4" t="s">
        <v>219</v>
      </c>
      <c r="D125">
        <v>0</v>
      </c>
      <c r="E125">
        <v>1</v>
      </c>
      <c r="F125">
        <v>-1</v>
      </c>
      <c r="G125">
        <v>9990</v>
      </c>
      <c r="J125" s="6">
        <v>9990</v>
      </c>
    </row>
    <row r="126" spans="2:10">
      <c r="B126" t="s">
        <v>150</v>
      </c>
      <c r="C126" s="4" t="s">
        <v>220</v>
      </c>
      <c r="D126">
        <v>0</v>
      </c>
      <c r="E126">
        <v>1</v>
      </c>
      <c r="F126">
        <v>-1</v>
      </c>
      <c r="G126">
        <v>8990</v>
      </c>
      <c r="J126" s="7">
        <v>8990</v>
      </c>
    </row>
    <row r="127" spans="2:10">
      <c r="B127" t="s">
        <v>221</v>
      </c>
      <c r="C127" s="4" t="s">
        <v>222</v>
      </c>
      <c r="D127">
        <v>0</v>
      </c>
      <c r="E127">
        <v>1</v>
      </c>
      <c r="F127">
        <v>-1</v>
      </c>
      <c r="G127">
        <v>13990</v>
      </c>
      <c r="J127" s="6">
        <v>13990</v>
      </c>
    </row>
    <row r="128" spans="2:10">
      <c r="B128" t="s">
        <v>223</v>
      </c>
      <c r="C128" s="4" t="s">
        <v>224</v>
      </c>
      <c r="D128">
        <v>0</v>
      </c>
      <c r="E128">
        <v>1</v>
      </c>
      <c r="F128">
        <v>-1</v>
      </c>
      <c r="G128">
        <v>14990</v>
      </c>
      <c r="J128" s="7">
        <v>14990</v>
      </c>
    </row>
    <row r="129" spans="2:10">
      <c r="B129" t="s">
        <v>225</v>
      </c>
      <c r="C129" s="4" t="s">
        <v>226</v>
      </c>
      <c r="D129">
        <v>0</v>
      </c>
      <c r="E129">
        <v>1</v>
      </c>
      <c r="F129">
        <v>-1</v>
      </c>
      <c r="G129">
        <v>8990</v>
      </c>
      <c r="J129" s="6">
        <v>8990</v>
      </c>
    </row>
    <row r="130" spans="2:10">
      <c r="B130" t="s">
        <v>227</v>
      </c>
      <c r="C130" s="4" t="s">
        <v>228</v>
      </c>
      <c r="D130">
        <v>0</v>
      </c>
      <c r="E130">
        <v>1</v>
      </c>
      <c r="F130">
        <v>-1</v>
      </c>
      <c r="G130">
        <v>16990</v>
      </c>
      <c r="J130" s="7">
        <v>16990</v>
      </c>
    </row>
    <row r="131" spans="2:10">
      <c r="B131" t="s">
        <v>229</v>
      </c>
      <c r="C131" s="4" t="s">
        <v>230</v>
      </c>
      <c r="D131">
        <v>0</v>
      </c>
      <c r="E131">
        <v>1</v>
      </c>
      <c r="F131">
        <v>-1</v>
      </c>
      <c r="G131">
        <v>39990</v>
      </c>
      <c r="J131" s="6">
        <v>39990</v>
      </c>
    </row>
    <row r="132" spans="2:10">
      <c r="B132" t="s">
        <v>231</v>
      </c>
      <c r="C132" s="4" t="s">
        <v>232</v>
      </c>
      <c r="D132">
        <v>0</v>
      </c>
      <c r="E132">
        <v>1</v>
      </c>
      <c r="F132">
        <v>-1</v>
      </c>
      <c r="G132">
        <v>10990</v>
      </c>
      <c r="J132" s="7">
        <v>10990</v>
      </c>
    </row>
    <row r="133" spans="2:10">
      <c r="B133" t="s">
        <v>233</v>
      </c>
      <c r="C133" s="4" t="s">
        <v>234</v>
      </c>
      <c r="D133" s="9">
        <v>0</v>
      </c>
      <c r="E133">
        <v>1</v>
      </c>
      <c r="F133">
        <v>-1</v>
      </c>
      <c r="G133">
        <v>19990</v>
      </c>
      <c r="J133" s="6">
        <v>19990</v>
      </c>
    </row>
    <row r="134" spans="2:10">
      <c r="B134" t="s">
        <v>23</v>
      </c>
      <c r="C134" s="4" t="s">
        <v>235</v>
      </c>
      <c r="D134">
        <v>0</v>
      </c>
      <c r="E134">
        <v>1</v>
      </c>
      <c r="F134">
        <v>-1</v>
      </c>
      <c r="G134">
        <v>6990</v>
      </c>
      <c r="J134" s="7">
        <v>6990</v>
      </c>
    </row>
    <row r="135" spans="2:10">
      <c r="B135" t="s">
        <v>236</v>
      </c>
      <c r="C135" s="4" t="s">
        <v>237</v>
      </c>
      <c r="D135">
        <v>0</v>
      </c>
      <c r="E135">
        <v>1</v>
      </c>
      <c r="F135">
        <v>-1</v>
      </c>
      <c r="G135">
        <v>8990</v>
      </c>
      <c r="J135" s="6">
        <v>8990</v>
      </c>
    </row>
    <row r="136" spans="2:10">
      <c r="B136" t="s">
        <v>238</v>
      </c>
      <c r="C136" s="4" t="s">
        <v>239</v>
      </c>
      <c r="D136">
        <v>0</v>
      </c>
      <c r="E136">
        <v>1</v>
      </c>
      <c r="F136">
        <v>-1</v>
      </c>
      <c r="G136">
        <v>49990</v>
      </c>
      <c r="J136" s="7">
        <v>49990</v>
      </c>
    </row>
    <row r="137" spans="2:10">
      <c r="B137" t="s">
        <v>301</v>
      </c>
      <c r="C137" s="4" t="s">
        <v>302</v>
      </c>
      <c r="D137">
        <v>0</v>
      </c>
      <c r="E137">
        <v>6</v>
      </c>
      <c r="F137">
        <v>-6</v>
      </c>
      <c r="G137">
        <v>9990</v>
      </c>
      <c r="J137" s="6">
        <f>(9990*6)</f>
        <v>59940</v>
      </c>
    </row>
    <row r="138" spans="2:10">
      <c r="B138" s="10"/>
      <c r="C138" s="11"/>
      <c r="D138" s="10"/>
      <c r="E138" s="10"/>
      <c r="F138" s="10"/>
      <c r="G138" s="10"/>
      <c r="J138" s="13"/>
    </row>
    <row r="139" spans="2:10">
      <c r="B139" t="s">
        <v>82</v>
      </c>
      <c r="C139" s="4" t="s">
        <v>240</v>
      </c>
      <c r="D139">
        <v>0</v>
      </c>
      <c r="E139">
        <v>1</v>
      </c>
      <c r="F139">
        <v>-1</v>
      </c>
      <c r="G139">
        <v>24990</v>
      </c>
      <c r="J139" s="6">
        <v>24990</v>
      </c>
    </row>
    <row r="140" spans="2:10">
      <c r="B140" t="s">
        <v>82</v>
      </c>
      <c r="C140" s="4" t="s">
        <v>241</v>
      </c>
      <c r="D140">
        <v>0</v>
      </c>
      <c r="E140">
        <v>1</v>
      </c>
      <c r="F140">
        <v>-1</v>
      </c>
      <c r="G140">
        <v>24990</v>
      </c>
      <c r="J140" s="7">
        <v>24990</v>
      </c>
    </row>
    <row r="141" spans="2:10">
      <c r="B141" t="s">
        <v>245</v>
      </c>
      <c r="C141" s="4" t="s">
        <v>242</v>
      </c>
      <c r="D141">
        <v>0</v>
      </c>
      <c r="E141">
        <v>1</v>
      </c>
      <c r="F141">
        <v>-1</v>
      </c>
      <c r="G141">
        <v>14990</v>
      </c>
      <c r="J141" s="6">
        <v>14990</v>
      </c>
    </row>
    <row r="142" spans="2:10">
      <c r="B142" t="s">
        <v>243</v>
      </c>
      <c r="C142" s="4" t="s">
        <v>244</v>
      </c>
      <c r="D142" s="9">
        <v>0</v>
      </c>
      <c r="E142">
        <v>1</v>
      </c>
      <c r="F142">
        <v>-1</v>
      </c>
      <c r="G142">
        <v>14990</v>
      </c>
      <c r="J142" s="7">
        <v>14990</v>
      </c>
    </row>
    <row r="143" spans="2:10">
      <c r="B143" t="s">
        <v>246</v>
      </c>
      <c r="C143" s="4" t="s">
        <v>247</v>
      </c>
      <c r="D143" s="9">
        <v>0</v>
      </c>
      <c r="E143">
        <v>1</v>
      </c>
      <c r="F143">
        <v>-1</v>
      </c>
      <c r="G143">
        <v>8990</v>
      </c>
      <c r="J143" s="6">
        <v>8990</v>
      </c>
    </row>
    <row r="144" spans="2:10">
      <c r="B144" t="s">
        <v>233</v>
      </c>
      <c r="C144" s="4" t="s">
        <v>248</v>
      </c>
      <c r="D144">
        <v>0</v>
      </c>
      <c r="E144">
        <v>1</v>
      </c>
      <c r="F144">
        <v>-1</v>
      </c>
      <c r="G144">
        <v>9990</v>
      </c>
      <c r="J144" s="7">
        <v>9990</v>
      </c>
    </row>
    <row r="145" spans="2:10">
      <c r="B145" t="s">
        <v>82</v>
      </c>
      <c r="C145" s="4" t="s">
        <v>249</v>
      </c>
      <c r="D145">
        <v>0</v>
      </c>
      <c r="E145">
        <v>1</v>
      </c>
      <c r="F145">
        <v>-1</v>
      </c>
      <c r="G145">
        <v>39990</v>
      </c>
      <c r="J145" s="6">
        <v>39990</v>
      </c>
    </row>
    <row r="146" spans="2:10">
      <c r="B146" t="s">
        <v>250</v>
      </c>
      <c r="C146" s="4" t="s">
        <v>251</v>
      </c>
      <c r="D146">
        <v>0</v>
      </c>
      <c r="E146">
        <v>1</v>
      </c>
      <c r="F146">
        <v>-1</v>
      </c>
      <c r="G146">
        <v>19990</v>
      </c>
      <c r="J146" s="7">
        <v>19990</v>
      </c>
    </row>
    <row r="147" spans="2:10">
      <c r="B147" t="s">
        <v>252</v>
      </c>
      <c r="C147" s="4" t="s">
        <v>253</v>
      </c>
      <c r="D147">
        <v>0</v>
      </c>
      <c r="E147">
        <v>1</v>
      </c>
      <c r="F147">
        <v>-1</v>
      </c>
      <c r="G147">
        <v>49990</v>
      </c>
      <c r="J147" s="6">
        <v>49990</v>
      </c>
    </row>
    <row r="148" spans="2:10">
      <c r="B148" t="s">
        <v>254</v>
      </c>
      <c r="C148" s="4" t="s">
        <v>255</v>
      </c>
      <c r="D148">
        <v>0</v>
      </c>
      <c r="E148">
        <v>1</v>
      </c>
      <c r="F148">
        <v>-1</v>
      </c>
      <c r="G148">
        <v>19990</v>
      </c>
      <c r="J148" s="7">
        <v>19990</v>
      </c>
    </row>
    <row r="149" spans="2:10">
      <c r="B149" t="s">
        <v>256</v>
      </c>
      <c r="C149" s="4" t="s">
        <v>257</v>
      </c>
      <c r="D149">
        <v>0</v>
      </c>
      <c r="E149">
        <v>1</v>
      </c>
      <c r="F149">
        <v>-1</v>
      </c>
      <c r="G149">
        <v>31990</v>
      </c>
      <c r="J149" s="6">
        <v>31990</v>
      </c>
    </row>
    <row r="150" spans="2:10">
      <c r="B150" t="s">
        <v>258</v>
      </c>
      <c r="C150" s="4" t="s">
        <v>259</v>
      </c>
      <c r="D150" s="9">
        <v>0</v>
      </c>
      <c r="E150">
        <v>1</v>
      </c>
      <c r="F150">
        <v>-1</v>
      </c>
      <c r="G150">
        <v>29990</v>
      </c>
      <c r="J150" s="7">
        <v>29990</v>
      </c>
    </row>
    <row r="151" spans="2:10">
      <c r="B151" t="s">
        <v>27</v>
      </c>
      <c r="C151" s="4" t="s">
        <v>260</v>
      </c>
      <c r="D151">
        <v>0</v>
      </c>
      <c r="E151">
        <v>5</v>
      </c>
      <c r="F151">
        <v>-5</v>
      </c>
      <c r="G151">
        <v>3990</v>
      </c>
      <c r="J151" s="6">
        <f>(3990*5)</f>
        <v>19950</v>
      </c>
    </row>
    <row r="152" spans="2:10">
      <c r="B152" t="s">
        <v>261</v>
      </c>
      <c r="C152" s="4" t="s">
        <v>262</v>
      </c>
      <c r="D152">
        <v>0</v>
      </c>
      <c r="E152">
        <v>4</v>
      </c>
      <c r="F152">
        <v>-4</v>
      </c>
      <c r="G152">
        <v>39990</v>
      </c>
      <c r="J152" s="7">
        <f>(39990*4)</f>
        <v>159960</v>
      </c>
    </row>
    <row r="153" spans="2:10">
      <c r="B153" s="12"/>
      <c r="C153" s="11"/>
      <c r="D153" s="10"/>
      <c r="E153" s="10"/>
      <c r="F153" s="10"/>
      <c r="G153" s="10"/>
      <c r="J153" s="13"/>
    </row>
    <row r="154" spans="2:10">
      <c r="B154" t="s">
        <v>263</v>
      </c>
      <c r="C154" s="4" t="s">
        <v>264</v>
      </c>
      <c r="D154">
        <v>3</v>
      </c>
      <c r="E154">
        <v>5</v>
      </c>
      <c r="F154">
        <v>-2</v>
      </c>
      <c r="G154">
        <v>5990</v>
      </c>
      <c r="J154" s="7">
        <f>(5990*2)</f>
        <v>11980</v>
      </c>
    </row>
    <row r="155" spans="2:10">
      <c r="B155" t="s">
        <v>265</v>
      </c>
      <c r="C155" s="4" t="s">
        <v>266</v>
      </c>
      <c r="D155">
        <v>2</v>
      </c>
      <c r="E155">
        <v>7</v>
      </c>
      <c r="F155">
        <v>-5</v>
      </c>
      <c r="G155">
        <v>2990</v>
      </c>
      <c r="J155" s="6">
        <f>(2990*5)</f>
        <v>14950</v>
      </c>
    </row>
    <row r="156" spans="2:10">
      <c r="B156" t="s">
        <v>267</v>
      </c>
      <c r="C156" s="4" t="s">
        <v>268</v>
      </c>
      <c r="D156">
        <v>10</v>
      </c>
      <c r="E156">
        <v>11</v>
      </c>
      <c r="F156">
        <v>-1</v>
      </c>
      <c r="G156">
        <v>2990</v>
      </c>
      <c r="J156" s="7">
        <v>2990</v>
      </c>
    </row>
    <row r="157" spans="2:10">
      <c r="B157" t="s">
        <v>269</v>
      </c>
      <c r="C157" s="4" t="s">
        <v>270</v>
      </c>
      <c r="D157">
        <v>2</v>
      </c>
      <c r="E157">
        <v>19</v>
      </c>
      <c r="F157">
        <v>-17</v>
      </c>
      <c r="G157">
        <v>1990</v>
      </c>
      <c r="J157" s="6">
        <f>(1990*17)</f>
        <v>33830</v>
      </c>
    </row>
    <row r="158" spans="2:10">
      <c r="B158" t="s">
        <v>271</v>
      </c>
      <c r="C158" s="4" t="s">
        <v>272</v>
      </c>
      <c r="D158">
        <v>4</v>
      </c>
      <c r="E158">
        <v>6</v>
      </c>
      <c r="F158">
        <v>-2</v>
      </c>
      <c r="G158">
        <v>8990</v>
      </c>
      <c r="J158" s="7">
        <f>(8990*2)</f>
        <v>17980</v>
      </c>
    </row>
    <row r="159" spans="2:10">
      <c r="B159" t="s">
        <v>273</v>
      </c>
      <c r="C159" s="4" t="s">
        <v>274</v>
      </c>
      <c r="D159">
        <v>1</v>
      </c>
      <c r="E159">
        <v>2</v>
      </c>
      <c r="F159">
        <v>-1</v>
      </c>
      <c r="G159">
        <v>5990</v>
      </c>
      <c r="J159" s="6">
        <v>5990</v>
      </c>
    </row>
    <row r="160" spans="2:10">
      <c r="B160" t="s">
        <v>275</v>
      </c>
      <c r="C160" s="4" t="s">
        <v>276</v>
      </c>
      <c r="D160">
        <v>2</v>
      </c>
      <c r="E160">
        <v>3</v>
      </c>
      <c r="F160">
        <v>-1</v>
      </c>
      <c r="G160">
        <v>3990</v>
      </c>
      <c r="J160" s="7">
        <v>3990</v>
      </c>
    </row>
    <row r="161" spans="2:10">
      <c r="B161" t="s">
        <v>277</v>
      </c>
      <c r="C161" s="4" t="s">
        <v>278</v>
      </c>
      <c r="D161">
        <v>7</v>
      </c>
      <c r="E161">
        <v>12</v>
      </c>
      <c r="F161">
        <v>-5</v>
      </c>
      <c r="G161">
        <v>2990</v>
      </c>
      <c r="J161" s="6">
        <f>(2990*5)</f>
        <v>14950</v>
      </c>
    </row>
    <row r="162" spans="2:10">
      <c r="B162" t="s">
        <v>279</v>
      </c>
      <c r="C162" s="4" t="s">
        <v>280</v>
      </c>
      <c r="D162">
        <v>1</v>
      </c>
      <c r="E162">
        <v>3</v>
      </c>
      <c r="F162">
        <v>-2</v>
      </c>
      <c r="G162">
        <v>3990</v>
      </c>
      <c r="J162" s="7">
        <f>(3990*2)</f>
        <v>7980</v>
      </c>
    </row>
    <row r="163" spans="2:10">
      <c r="B163" t="s">
        <v>281</v>
      </c>
      <c r="C163" s="4" t="s">
        <v>282</v>
      </c>
      <c r="D163">
        <v>1</v>
      </c>
      <c r="E163">
        <v>2</v>
      </c>
      <c r="F163">
        <v>-1</v>
      </c>
      <c r="G163">
        <v>16990</v>
      </c>
      <c r="J163" s="6">
        <v>16990</v>
      </c>
    </row>
    <row r="164" spans="2:10">
      <c r="B164" t="s">
        <v>283</v>
      </c>
      <c r="C164" s="4" t="s">
        <v>284</v>
      </c>
      <c r="D164">
        <v>3</v>
      </c>
      <c r="E164">
        <v>4</v>
      </c>
      <c r="F164">
        <v>-1</v>
      </c>
      <c r="G164">
        <v>3990</v>
      </c>
      <c r="J164" s="7">
        <v>3990</v>
      </c>
    </row>
    <row r="165" spans="2:10">
      <c r="B165" t="s">
        <v>285</v>
      </c>
      <c r="C165" s="4" t="s">
        <v>286</v>
      </c>
      <c r="D165">
        <v>1</v>
      </c>
      <c r="E165">
        <v>2</v>
      </c>
      <c r="F165">
        <v>-1</v>
      </c>
      <c r="G165">
        <v>2990</v>
      </c>
      <c r="J165" s="6">
        <v>2990</v>
      </c>
    </row>
    <row r="166" spans="2:10">
      <c r="B166" t="s">
        <v>287</v>
      </c>
      <c r="C166" s="4" t="s">
        <v>288</v>
      </c>
      <c r="D166">
        <v>6</v>
      </c>
      <c r="E166">
        <v>8</v>
      </c>
      <c r="F166">
        <v>-2</v>
      </c>
      <c r="G166">
        <v>5990</v>
      </c>
      <c r="J166" s="7">
        <f>(5990*2)</f>
        <v>11980</v>
      </c>
    </row>
    <row r="167" spans="2:10">
      <c r="B167" t="s">
        <v>289</v>
      </c>
      <c r="C167" s="4" t="s">
        <v>290</v>
      </c>
      <c r="D167">
        <v>2</v>
      </c>
      <c r="E167">
        <v>3</v>
      </c>
      <c r="F167">
        <v>-1</v>
      </c>
      <c r="G167">
        <v>9990</v>
      </c>
      <c r="J167" s="6">
        <v>9990</v>
      </c>
    </row>
    <row r="168" spans="2:10">
      <c r="B168" t="s">
        <v>291</v>
      </c>
      <c r="C168" s="4" t="s">
        <v>292</v>
      </c>
      <c r="D168">
        <v>2</v>
      </c>
      <c r="E168">
        <v>4</v>
      </c>
      <c r="F168">
        <v>-2</v>
      </c>
      <c r="G168">
        <v>9990</v>
      </c>
      <c r="J168" s="7">
        <f>(9990*2)</f>
        <v>19980</v>
      </c>
    </row>
    <row r="169" spans="2:10">
      <c r="B169" t="s">
        <v>293</v>
      </c>
      <c r="C169" s="4" t="s">
        <v>294</v>
      </c>
      <c r="D169">
        <v>2</v>
      </c>
      <c r="E169">
        <v>4</v>
      </c>
      <c r="F169">
        <v>-2</v>
      </c>
      <c r="G169">
        <v>9990</v>
      </c>
      <c r="J169" s="6">
        <f>(9990*2)</f>
        <v>19980</v>
      </c>
    </row>
    <row r="170" spans="2:10">
      <c r="B170" t="s">
        <v>295</v>
      </c>
      <c r="C170" s="4" t="s">
        <v>296</v>
      </c>
      <c r="D170">
        <v>2</v>
      </c>
      <c r="E170">
        <v>3</v>
      </c>
      <c r="F170">
        <v>-1</v>
      </c>
      <c r="G170">
        <v>13990</v>
      </c>
      <c r="J170" s="7">
        <v>13990</v>
      </c>
    </row>
    <row r="171" spans="2:10">
      <c r="B171" t="s">
        <v>293</v>
      </c>
      <c r="C171" s="4" t="s">
        <v>297</v>
      </c>
      <c r="D171">
        <v>1</v>
      </c>
      <c r="E171">
        <v>3</v>
      </c>
      <c r="F171">
        <v>-2</v>
      </c>
      <c r="G171">
        <v>16990</v>
      </c>
      <c r="J171" s="6">
        <f>(16990*2)</f>
        <v>33980</v>
      </c>
    </row>
    <row r="172" spans="2:10">
      <c r="B172" t="s">
        <v>303</v>
      </c>
      <c r="C172" s="4" t="s">
        <v>304</v>
      </c>
      <c r="D172">
        <v>0</v>
      </c>
      <c r="E172">
        <v>5</v>
      </c>
      <c r="F172">
        <v>-5</v>
      </c>
      <c r="G172">
        <v>23990</v>
      </c>
      <c r="J172" s="7">
        <f>(23990*5)</f>
        <v>119950</v>
      </c>
    </row>
    <row r="173" spans="2:10">
      <c r="B173" t="s">
        <v>305</v>
      </c>
      <c r="C173" s="4" t="s">
        <v>306</v>
      </c>
      <c r="D173">
        <v>0</v>
      </c>
      <c r="E173">
        <v>3</v>
      </c>
      <c r="F173">
        <v>-3</v>
      </c>
      <c r="G173">
        <v>9990</v>
      </c>
      <c r="J173" s="6">
        <f>(9990*3)</f>
        <v>29970</v>
      </c>
    </row>
    <row r="174" spans="2:10">
      <c r="B174" t="s">
        <v>307</v>
      </c>
      <c r="C174" s="4" t="s">
        <v>308</v>
      </c>
      <c r="D174">
        <v>0</v>
      </c>
      <c r="E174">
        <v>3</v>
      </c>
      <c r="F174">
        <v>-3</v>
      </c>
      <c r="G174">
        <v>19990</v>
      </c>
      <c r="J174" s="7">
        <f>(19990*3)</f>
        <v>59970</v>
      </c>
    </row>
    <row r="175" spans="2:10">
      <c r="B175" t="s">
        <v>309</v>
      </c>
      <c r="C175" s="4" t="s">
        <v>310</v>
      </c>
      <c r="D175">
        <v>0</v>
      </c>
      <c r="E175">
        <v>3</v>
      </c>
      <c r="F175">
        <v>-3</v>
      </c>
      <c r="G175">
        <v>79990</v>
      </c>
      <c r="J175" s="6">
        <f>(79990*3)</f>
        <v>239970</v>
      </c>
    </row>
    <row r="176" spans="2:10">
      <c r="B176" t="s">
        <v>311</v>
      </c>
      <c r="C176" s="4" t="s">
        <v>312</v>
      </c>
      <c r="D176">
        <v>0</v>
      </c>
      <c r="E176">
        <v>3</v>
      </c>
      <c r="F176">
        <v>-3</v>
      </c>
      <c r="G176">
        <v>39990</v>
      </c>
      <c r="J176" s="7">
        <f>(39990*3)</f>
        <v>119970</v>
      </c>
    </row>
    <row r="177" spans="2:10">
      <c r="B177" t="s">
        <v>203</v>
      </c>
      <c r="C177" s="4" t="s">
        <v>313</v>
      </c>
      <c r="D177">
        <v>0</v>
      </c>
      <c r="E177">
        <v>3</v>
      </c>
      <c r="F177">
        <v>-3</v>
      </c>
      <c r="G177">
        <v>11990</v>
      </c>
      <c r="J177" s="6">
        <f>(11990*3)</f>
        <v>35970</v>
      </c>
    </row>
    <row r="178" spans="2:10">
      <c r="B178" t="s">
        <v>314</v>
      </c>
      <c r="C178" s="4" t="s">
        <v>315</v>
      </c>
      <c r="D178">
        <v>0</v>
      </c>
      <c r="E178">
        <v>2</v>
      </c>
      <c r="F178">
        <v>-2</v>
      </c>
      <c r="G178">
        <v>8990</v>
      </c>
      <c r="J178" s="7">
        <f>(8990*2)</f>
        <v>17980</v>
      </c>
    </row>
    <row r="179" spans="2:10">
      <c r="B179" t="s">
        <v>316</v>
      </c>
      <c r="C179" s="4" t="s">
        <v>317</v>
      </c>
      <c r="D179">
        <v>0</v>
      </c>
      <c r="E179">
        <v>2</v>
      </c>
      <c r="F179">
        <v>-2</v>
      </c>
      <c r="G179">
        <v>12990</v>
      </c>
      <c r="J179" s="6">
        <f>(12990*2)</f>
        <v>25980</v>
      </c>
    </row>
    <row r="180" spans="2:10">
      <c r="B180" t="s">
        <v>318</v>
      </c>
      <c r="C180" s="4" t="s">
        <v>319</v>
      </c>
      <c r="D180">
        <v>0</v>
      </c>
      <c r="E180">
        <v>2</v>
      </c>
      <c r="F180">
        <v>-2</v>
      </c>
      <c r="G180">
        <v>44990</v>
      </c>
      <c r="J180" s="7">
        <f>(44990*2)</f>
        <v>89980</v>
      </c>
    </row>
    <row r="181" spans="2:10">
      <c r="B181" t="s">
        <v>66</v>
      </c>
      <c r="C181" s="4" t="s">
        <v>320</v>
      </c>
      <c r="D181">
        <v>0</v>
      </c>
      <c r="E181">
        <v>1</v>
      </c>
      <c r="F181">
        <v>-1</v>
      </c>
      <c r="G181">
        <v>19990</v>
      </c>
      <c r="J181" s="6">
        <v>19990</v>
      </c>
    </row>
    <row r="182" spans="2:10">
      <c r="B182" t="s">
        <v>321</v>
      </c>
      <c r="C182" s="4" t="s">
        <v>322</v>
      </c>
      <c r="D182">
        <v>0</v>
      </c>
      <c r="E182">
        <v>1</v>
      </c>
      <c r="F182">
        <v>-1</v>
      </c>
      <c r="G182">
        <v>28990</v>
      </c>
      <c r="J182" s="7">
        <v>28990</v>
      </c>
    </row>
    <row r="183" spans="2:10">
      <c r="B183" t="s">
        <v>323</v>
      </c>
      <c r="C183" s="4" t="s">
        <v>324</v>
      </c>
      <c r="D183">
        <v>0</v>
      </c>
      <c r="E183">
        <v>1</v>
      </c>
      <c r="F183">
        <v>-1</v>
      </c>
      <c r="G183">
        <v>16990</v>
      </c>
      <c r="J183" s="6">
        <v>16990</v>
      </c>
    </row>
    <row r="184" spans="2:10">
      <c r="B184" t="s">
        <v>326</v>
      </c>
      <c r="C184" s="4" t="s">
        <v>325</v>
      </c>
      <c r="D184">
        <v>0</v>
      </c>
      <c r="E184">
        <v>1</v>
      </c>
      <c r="F184">
        <v>-1</v>
      </c>
      <c r="G184">
        <v>26990</v>
      </c>
      <c r="J184" s="7">
        <v>26990</v>
      </c>
    </row>
    <row r="185" spans="2:10">
      <c r="B185" t="s">
        <v>327</v>
      </c>
      <c r="C185" s="4" t="s">
        <v>328</v>
      </c>
      <c r="D185">
        <v>0</v>
      </c>
      <c r="E185">
        <v>1</v>
      </c>
      <c r="F185">
        <v>-1</v>
      </c>
      <c r="G185">
        <v>26990</v>
      </c>
      <c r="J185" s="6">
        <v>26990</v>
      </c>
    </row>
    <row r="186" spans="2:10">
      <c r="B186" t="s">
        <v>329</v>
      </c>
      <c r="C186" s="4" t="s">
        <v>330</v>
      </c>
      <c r="D186">
        <v>0</v>
      </c>
      <c r="E186">
        <v>1</v>
      </c>
      <c r="F186">
        <v>-1</v>
      </c>
      <c r="G186">
        <v>7990</v>
      </c>
      <c r="J186" s="7">
        <v>7990</v>
      </c>
    </row>
    <row r="187" spans="2:10">
      <c r="B187" t="s">
        <v>331</v>
      </c>
      <c r="C187" s="4" t="s">
        <v>332</v>
      </c>
      <c r="D187">
        <v>0</v>
      </c>
      <c r="E187">
        <v>1</v>
      </c>
      <c r="F187">
        <v>-1</v>
      </c>
      <c r="G187">
        <v>16990</v>
      </c>
      <c r="J187" s="6">
        <v>16990</v>
      </c>
    </row>
    <row r="188" spans="2:10">
      <c r="B188" t="s">
        <v>334</v>
      </c>
      <c r="C188" s="4" t="s">
        <v>333</v>
      </c>
      <c r="D188">
        <v>0</v>
      </c>
      <c r="E188">
        <v>1</v>
      </c>
      <c r="F188">
        <v>-1</v>
      </c>
      <c r="G188">
        <v>12990</v>
      </c>
      <c r="J188" s="7">
        <v>12990</v>
      </c>
    </row>
    <row r="189" spans="2:10">
      <c r="B189" t="s">
        <v>277</v>
      </c>
      <c r="C189" s="4" t="s">
        <v>460</v>
      </c>
      <c r="D189">
        <v>3</v>
      </c>
      <c r="E189">
        <v>4</v>
      </c>
      <c r="F189">
        <v>-1</v>
      </c>
      <c r="G189">
        <v>2990</v>
      </c>
      <c r="J189" s="15">
        <v>2990</v>
      </c>
    </row>
    <row r="190" spans="2:10">
      <c r="B190" t="s">
        <v>335</v>
      </c>
      <c r="C190" s="4" t="s">
        <v>336</v>
      </c>
      <c r="D190">
        <v>0</v>
      </c>
      <c r="E190">
        <v>1</v>
      </c>
      <c r="F190">
        <v>-1</v>
      </c>
      <c r="G190">
        <v>34990</v>
      </c>
      <c r="J190" s="6">
        <v>34990</v>
      </c>
    </row>
    <row r="191" spans="2:10">
      <c r="B191" t="s">
        <v>337</v>
      </c>
      <c r="C191" s="4" t="s">
        <v>338</v>
      </c>
      <c r="D191">
        <v>1</v>
      </c>
      <c r="E191">
        <v>3</v>
      </c>
      <c r="F191">
        <v>-2</v>
      </c>
      <c r="G191">
        <v>49990</v>
      </c>
      <c r="J191" s="7">
        <f>(49990*2)</f>
        <v>99980</v>
      </c>
    </row>
    <row r="192" spans="2:10">
      <c r="B192" t="s">
        <v>339</v>
      </c>
      <c r="C192" s="4" t="s">
        <v>340</v>
      </c>
      <c r="D192">
        <v>0</v>
      </c>
      <c r="E192">
        <v>3</v>
      </c>
      <c r="F192">
        <v>-3</v>
      </c>
      <c r="G192">
        <v>49990</v>
      </c>
      <c r="J192" s="6">
        <f>(49990*3)</f>
        <v>149970</v>
      </c>
    </row>
    <row r="193" spans="2:10">
      <c r="B193" t="s">
        <v>341</v>
      </c>
      <c r="C193" s="4" t="s">
        <v>342</v>
      </c>
      <c r="D193">
        <v>0</v>
      </c>
      <c r="E193">
        <v>3</v>
      </c>
      <c r="F193">
        <v>-3</v>
      </c>
      <c r="G193">
        <v>39990</v>
      </c>
      <c r="J193" s="7">
        <f>(39990*3)</f>
        <v>119970</v>
      </c>
    </row>
    <row r="194" spans="2:10">
      <c r="B194" t="s">
        <v>343</v>
      </c>
      <c r="C194" s="4" t="s">
        <v>344</v>
      </c>
      <c r="D194">
        <v>0</v>
      </c>
      <c r="E194">
        <v>1</v>
      </c>
      <c r="F194">
        <v>-1</v>
      </c>
      <c r="G194">
        <v>16990</v>
      </c>
      <c r="J194" s="6">
        <v>16990</v>
      </c>
    </row>
    <row r="195" spans="2:10">
      <c r="B195" t="s">
        <v>345</v>
      </c>
      <c r="C195" s="4" t="s">
        <v>346</v>
      </c>
      <c r="D195">
        <v>1</v>
      </c>
      <c r="E195">
        <v>2</v>
      </c>
      <c r="F195">
        <v>-1</v>
      </c>
      <c r="G195">
        <v>46990</v>
      </c>
      <c r="J195" s="7">
        <v>46990</v>
      </c>
    </row>
    <row r="196" spans="2:10">
      <c r="B196" t="s">
        <v>347</v>
      </c>
      <c r="C196" s="4" t="s">
        <v>348</v>
      </c>
      <c r="D196">
        <v>0</v>
      </c>
      <c r="E196">
        <v>1</v>
      </c>
      <c r="F196">
        <v>-1</v>
      </c>
      <c r="G196">
        <v>39990</v>
      </c>
      <c r="J196" s="6">
        <v>39990</v>
      </c>
    </row>
    <row r="197" spans="2:10">
      <c r="B197" t="s">
        <v>349</v>
      </c>
      <c r="C197" s="4" t="s">
        <v>350</v>
      </c>
      <c r="D197">
        <v>0</v>
      </c>
      <c r="E197">
        <v>1</v>
      </c>
      <c r="F197">
        <v>-1</v>
      </c>
      <c r="G197">
        <v>34990</v>
      </c>
      <c r="J197" s="7">
        <v>34990</v>
      </c>
    </row>
    <row r="198" spans="2:10">
      <c r="B198" t="s">
        <v>351</v>
      </c>
      <c r="C198" s="4" t="s">
        <v>352</v>
      </c>
      <c r="D198">
        <v>0</v>
      </c>
      <c r="E198">
        <v>1</v>
      </c>
      <c r="F198">
        <v>-1</v>
      </c>
      <c r="G198">
        <v>39990</v>
      </c>
      <c r="J198" s="6">
        <v>39990</v>
      </c>
    </row>
    <row r="199" spans="2:10">
      <c r="B199" t="s">
        <v>354</v>
      </c>
      <c r="C199" s="4" t="s">
        <v>353</v>
      </c>
      <c r="D199">
        <v>1</v>
      </c>
      <c r="E199">
        <v>2</v>
      </c>
      <c r="F199">
        <v>-1</v>
      </c>
      <c r="G199">
        <v>26990</v>
      </c>
      <c r="J199" s="7">
        <v>26990</v>
      </c>
    </row>
    <row r="200" spans="2:10">
      <c r="B200" t="s">
        <v>355</v>
      </c>
      <c r="C200" s="4" t="s">
        <v>356</v>
      </c>
      <c r="D200">
        <v>0</v>
      </c>
      <c r="E200">
        <v>2</v>
      </c>
      <c r="F200">
        <v>-2</v>
      </c>
      <c r="G200">
        <v>8990</v>
      </c>
      <c r="J200" s="6">
        <f>(8990*2)</f>
        <v>17980</v>
      </c>
    </row>
    <row r="201" spans="2:10">
      <c r="B201" t="s">
        <v>357</v>
      </c>
      <c r="C201" s="4" t="s">
        <v>358</v>
      </c>
      <c r="D201">
        <v>0</v>
      </c>
      <c r="E201">
        <v>2</v>
      </c>
      <c r="F201">
        <v>-2</v>
      </c>
      <c r="G201">
        <v>10990</v>
      </c>
      <c r="J201" s="7">
        <f>(10990*2)</f>
        <v>21980</v>
      </c>
    </row>
    <row r="202" spans="2:10">
      <c r="B202" t="s">
        <v>360</v>
      </c>
      <c r="C202" s="4" t="s">
        <v>359</v>
      </c>
      <c r="D202">
        <v>0</v>
      </c>
      <c r="E202">
        <v>2</v>
      </c>
      <c r="F202">
        <v>-2</v>
      </c>
      <c r="G202">
        <v>5990</v>
      </c>
      <c r="J202" s="6">
        <f>(5990*2)</f>
        <v>11980</v>
      </c>
    </row>
    <row r="203" spans="2:10">
      <c r="B203" t="s">
        <v>136</v>
      </c>
      <c r="C203" s="4" t="s">
        <v>361</v>
      </c>
      <c r="D203">
        <v>0</v>
      </c>
      <c r="E203">
        <v>1</v>
      </c>
      <c r="F203">
        <v>-1</v>
      </c>
      <c r="G203">
        <v>8990</v>
      </c>
      <c r="J203" s="7">
        <v>8990</v>
      </c>
    </row>
    <row r="204" spans="2:10">
      <c r="B204" t="s">
        <v>362</v>
      </c>
      <c r="C204" s="4" t="s">
        <v>363</v>
      </c>
      <c r="D204">
        <v>0</v>
      </c>
      <c r="E204">
        <v>1</v>
      </c>
      <c r="F204">
        <v>-1</v>
      </c>
      <c r="G204">
        <v>16990</v>
      </c>
      <c r="J204" s="6">
        <v>16990</v>
      </c>
    </row>
    <row r="205" spans="2:10">
      <c r="B205" t="s">
        <v>364</v>
      </c>
      <c r="C205" s="4" t="s">
        <v>365</v>
      </c>
      <c r="D205">
        <v>0</v>
      </c>
      <c r="E205">
        <v>4</v>
      </c>
      <c r="F205">
        <v>-4</v>
      </c>
      <c r="G205">
        <v>30990</v>
      </c>
      <c r="J205" s="7">
        <f>(30990*4)</f>
        <v>123960</v>
      </c>
    </row>
    <row r="206" spans="2:10">
      <c r="B206" t="s">
        <v>366</v>
      </c>
      <c r="C206" s="4" t="s">
        <v>367</v>
      </c>
      <c r="D206">
        <v>0</v>
      </c>
      <c r="E206">
        <v>4</v>
      </c>
      <c r="F206">
        <v>-4</v>
      </c>
      <c r="G206">
        <v>18990</v>
      </c>
      <c r="J206" s="6">
        <f>(18990*4)</f>
        <v>75960</v>
      </c>
    </row>
    <row r="207" spans="2:10">
      <c r="B207" t="s">
        <v>368</v>
      </c>
      <c r="C207" s="4" t="s">
        <v>369</v>
      </c>
      <c r="D207">
        <v>0</v>
      </c>
      <c r="E207">
        <v>3</v>
      </c>
      <c r="F207">
        <v>-3</v>
      </c>
      <c r="G207">
        <v>18990</v>
      </c>
      <c r="J207" s="7">
        <f>(18990*3)</f>
        <v>56970</v>
      </c>
    </row>
    <row r="208" spans="2:10">
      <c r="B208" t="s">
        <v>370</v>
      </c>
      <c r="C208" s="4" t="s">
        <v>371</v>
      </c>
      <c r="D208">
        <v>0</v>
      </c>
      <c r="E208">
        <v>3</v>
      </c>
      <c r="F208">
        <v>-3</v>
      </c>
      <c r="G208">
        <v>29990</v>
      </c>
      <c r="J208" s="6">
        <f>(29990*3)</f>
        <v>89970</v>
      </c>
    </row>
    <row r="209" spans="2:10">
      <c r="B209" t="s">
        <v>372</v>
      </c>
      <c r="C209" s="4" t="s">
        <v>373</v>
      </c>
      <c r="D209">
        <v>0</v>
      </c>
      <c r="E209">
        <v>2</v>
      </c>
      <c r="F209">
        <v>-2</v>
      </c>
      <c r="G209">
        <v>14990</v>
      </c>
      <c r="J209" s="7">
        <f>(14990*2)</f>
        <v>29980</v>
      </c>
    </row>
    <row r="210" spans="2:10">
      <c r="B210" t="s">
        <v>375</v>
      </c>
      <c r="C210" s="4" t="s">
        <v>376</v>
      </c>
      <c r="D210">
        <v>0</v>
      </c>
      <c r="E210">
        <v>2</v>
      </c>
      <c r="F210">
        <v>-2</v>
      </c>
      <c r="G210">
        <v>9990</v>
      </c>
      <c r="J210" s="6">
        <f>(9990*2)</f>
        <v>19980</v>
      </c>
    </row>
    <row r="211" spans="2:10">
      <c r="B211" t="s">
        <v>377</v>
      </c>
      <c r="C211" s="4" t="s">
        <v>378</v>
      </c>
      <c r="D211">
        <v>0</v>
      </c>
      <c r="E211">
        <v>2</v>
      </c>
      <c r="F211">
        <v>-2</v>
      </c>
      <c r="G211">
        <v>18990</v>
      </c>
      <c r="J211" s="7">
        <f>(18990*2)</f>
        <v>37980</v>
      </c>
    </row>
    <row r="212" spans="2:10">
      <c r="B212" t="s">
        <v>368</v>
      </c>
      <c r="C212" s="4" t="s">
        <v>379</v>
      </c>
      <c r="D212">
        <v>0</v>
      </c>
      <c r="E212">
        <v>2</v>
      </c>
      <c r="F212">
        <v>-2</v>
      </c>
      <c r="G212">
        <v>14990</v>
      </c>
      <c r="J212" s="6">
        <f>(14990*2)</f>
        <v>29980</v>
      </c>
    </row>
    <row r="213" spans="2:10">
      <c r="B213" t="s">
        <v>380</v>
      </c>
      <c r="C213" s="4" t="s">
        <v>381</v>
      </c>
      <c r="D213">
        <v>0</v>
      </c>
      <c r="E213">
        <v>2</v>
      </c>
      <c r="F213">
        <v>-2</v>
      </c>
      <c r="G213">
        <v>34990</v>
      </c>
      <c r="J213" s="7">
        <f>(34990*2)</f>
        <v>69980</v>
      </c>
    </row>
    <row r="214" spans="2:10">
      <c r="B214" t="s">
        <v>382</v>
      </c>
      <c r="C214" s="4" t="s">
        <v>383</v>
      </c>
      <c r="D214">
        <v>0</v>
      </c>
      <c r="E214">
        <v>2</v>
      </c>
      <c r="F214">
        <v>-2</v>
      </c>
      <c r="G214">
        <v>12990</v>
      </c>
      <c r="J214" s="6">
        <f>(12990*2)</f>
        <v>25980</v>
      </c>
    </row>
    <row r="215" spans="2:10">
      <c r="B215" t="s">
        <v>384</v>
      </c>
      <c r="C215" s="4" t="s">
        <v>385</v>
      </c>
      <c r="D215">
        <v>0</v>
      </c>
      <c r="E215">
        <v>2</v>
      </c>
      <c r="F215">
        <v>-2</v>
      </c>
      <c r="G215">
        <v>16990</v>
      </c>
      <c r="J215" s="7">
        <f>(16990*2)</f>
        <v>33980</v>
      </c>
    </row>
    <row r="216" spans="2:10">
      <c r="B216" t="s">
        <v>384</v>
      </c>
      <c r="C216" s="4" t="s">
        <v>386</v>
      </c>
      <c r="D216">
        <v>0</v>
      </c>
      <c r="E216">
        <v>2</v>
      </c>
      <c r="F216">
        <v>-2</v>
      </c>
      <c r="G216">
        <v>16990</v>
      </c>
      <c r="J216" s="6">
        <f>(16990*2)</f>
        <v>33980</v>
      </c>
    </row>
    <row r="217" spans="2:10">
      <c r="B217" t="s">
        <v>387</v>
      </c>
      <c r="C217" s="4" t="s">
        <v>388</v>
      </c>
      <c r="D217">
        <v>0</v>
      </c>
      <c r="E217">
        <v>1</v>
      </c>
      <c r="F217">
        <v>-1</v>
      </c>
      <c r="G217">
        <v>16990</v>
      </c>
      <c r="J217" s="7">
        <v>16990</v>
      </c>
    </row>
    <row r="218" spans="2:10">
      <c r="B218" t="s">
        <v>382</v>
      </c>
      <c r="C218" s="4" t="s">
        <v>389</v>
      </c>
      <c r="D218">
        <v>0</v>
      </c>
      <c r="E218">
        <v>1</v>
      </c>
      <c r="F218">
        <v>-1</v>
      </c>
      <c r="G218">
        <v>11990</v>
      </c>
      <c r="J218" s="6">
        <v>11990</v>
      </c>
    </row>
    <row r="219" spans="2:10">
      <c r="B219" t="s">
        <v>374</v>
      </c>
      <c r="C219" s="4" t="s">
        <v>390</v>
      </c>
      <c r="D219">
        <v>0</v>
      </c>
      <c r="E219">
        <v>1</v>
      </c>
      <c r="F219">
        <v>-1</v>
      </c>
      <c r="G219">
        <v>13990</v>
      </c>
      <c r="J219" s="7">
        <v>13990</v>
      </c>
    </row>
    <row r="220" spans="2:10">
      <c r="B220" t="s">
        <v>374</v>
      </c>
      <c r="C220" s="4" t="s">
        <v>391</v>
      </c>
      <c r="D220">
        <v>0</v>
      </c>
      <c r="E220">
        <v>1</v>
      </c>
      <c r="F220">
        <v>-1</v>
      </c>
      <c r="G220">
        <v>15990</v>
      </c>
      <c r="J220" s="6">
        <v>15990</v>
      </c>
    </row>
    <row r="221" spans="2:10">
      <c r="B221" t="s">
        <v>392</v>
      </c>
      <c r="C221" s="4" t="s">
        <v>393</v>
      </c>
      <c r="D221">
        <v>0</v>
      </c>
      <c r="E221">
        <v>1</v>
      </c>
      <c r="F221">
        <v>-1</v>
      </c>
      <c r="G221">
        <v>10990</v>
      </c>
      <c r="J221" s="7">
        <v>10990</v>
      </c>
    </row>
    <row r="222" spans="2:10">
      <c r="B222" t="s">
        <v>394</v>
      </c>
      <c r="C222" s="4" t="s">
        <v>395</v>
      </c>
      <c r="D222">
        <v>0</v>
      </c>
      <c r="E222">
        <v>1</v>
      </c>
      <c r="F222">
        <v>-1</v>
      </c>
      <c r="G222">
        <v>14990</v>
      </c>
      <c r="J222" s="6">
        <v>14990</v>
      </c>
    </row>
    <row r="223" spans="2:10">
      <c r="B223" t="s">
        <v>396</v>
      </c>
      <c r="C223" s="4" t="s">
        <v>397</v>
      </c>
      <c r="D223">
        <v>0</v>
      </c>
      <c r="E223">
        <v>1</v>
      </c>
      <c r="F223">
        <v>-1</v>
      </c>
      <c r="G223">
        <v>14990</v>
      </c>
      <c r="J223" s="7">
        <v>14990</v>
      </c>
    </row>
    <row r="224" spans="2:10">
      <c r="B224" t="s">
        <v>374</v>
      </c>
      <c r="C224" s="4" t="s">
        <v>397</v>
      </c>
      <c r="D224">
        <v>0</v>
      </c>
      <c r="E224">
        <v>1</v>
      </c>
      <c r="F224">
        <v>-1</v>
      </c>
      <c r="G224">
        <v>19990</v>
      </c>
      <c r="J224" s="6">
        <v>19990</v>
      </c>
    </row>
    <row r="225" spans="2:10">
      <c r="B225" t="s">
        <v>374</v>
      </c>
      <c r="C225" s="4" t="s">
        <v>398</v>
      </c>
      <c r="D225">
        <v>0</v>
      </c>
      <c r="E225">
        <v>1</v>
      </c>
      <c r="F225">
        <v>-1</v>
      </c>
      <c r="G225">
        <v>14990</v>
      </c>
      <c r="J225" s="7">
        <v>14990</v>
      </c>
    </row>
    <row r="226" spans="2:10">
      <c r="B226" t="s">
        <v>399</v>
      </c>
      <c r="C226" s="4" t="s">
        <v>400</v>
      </c>
      <c r="D226">
        <v>0</v>
      </c>
      <c r="E226">
        <v>1</v>
      </c>
      <c r="F226">
        <v>-1</v>
      </c>
      <c r="G226">
        <v>11990</v>
      </c>
      <c r="J226" s="6">
        <v>11990</v>
      </c>
    </row>
    <row r="227" spans="2:10">
      <c r="B227" t="s">
        <v>401</v>
      </c>
      <c r="C227" s="4" t="s">
        <v>402</v>
      </c>
      <c r="D227">
        <v>0</v>
      </c>
      <c r="E227">
        <v>10</v>
      </c>
      <c r="F227">
        <v>-10</v>
      </c>
      <c r="G227">
        <v>4990</v>
      </c>
      <c r="J227" s="7">
        <f>(4990*10)</f>
        <v>49900</v>
      </c>
    </row>
    <row r="228" spans="2:10">
      <c r="B228" t="s">
        <v>403</v>
      </c>
      <c r="C228" s="4" t="s">
        <v>404</v>
      </c>
      <c r="D228">
        <v>3</v>
      </c>
      <c r="E228">
        <v>4</v>
      </c>
      <c r="F228">
        <v>-1</v>
      </c>
      <c r="G228">
        <v>14990</v>
      </c>
      <c r="J228" s="6">
        <v>14990</v>
      </c>
    </row>
    <row r="229" spans="2:10">
      <c r="B229" t="s">
        <v>405</v>
      </c>
      <c r="C229" s="4" t="s">
        <v>406</v>
      </c>
      <c r="D229">
        <v>0</v>
      </c>
      <c r="E229">
        <v>2</v>
      </c>
      <c r="F229">
        <v>-2</v>
      </c>
      <c r="G229">
        <v>9990</v>
      </c>
      <c r="J229" s="7">
        <f>(9990*2)</f>
        <v>19980</v>
      </c>
    </row>
    <row r="230" spans="2:10">
      <c r="B230" t="s">
        <v>407</v>
      </c>
      <c r="C230" s="4" t="s">
        <v>408</v>
      </c>
      <c r="D230">
        <v>0</v>
      </c>
      <c r="E230">
        <v>2</v>
      </c>
      <c r="F230">
        <v>-2</v>
      </c>
      <c r="G230">
        <v>10990</v>
      </c>
      <c r="J230" s="6">
        <f>(10990*2)</f>
        <v>21980</v>
      </c>
    </row>
    <row r="231" spans="2:10">
      <c r="B231" t="s">
        <v>409</v>
      </c>
      <c r="C231" s="4" t="s">
        <v>410</v>
      </c>
      <c r="D231">
        <v>0</v>
      </c>
      <c r="E231">
        <v>1</v>
      </c>
      <c r="F231">
        <v>-1</v>
      </c>
      <c r="G231">
        <v>12990</v>
      </c>
      <c r="J231" s="7">
        <v>12990</v>
      </c>
    </row>
    <row r="232" spans="2:10">
      <c r="B232" t="s">
        <v>411</v>
      </c>
      <c r="C232" s="4" t="s">
        <v>412</v>
      </c>
      <c r="D232">
        <v>0</v>
      </c>
      <c r="E232">
        <v>12</v>
      </c>
      <c r="F232">
        <v>-9</v>
      </c>
      <c r="G232">
        <v>2990</v>
      </c>
      <c r="J232" s="6">
        <f>(2990*9)</f>
        <v>26910</v>
      </c>
    </row>
    <row r="233" spans="2:10">
      <c r="B233" t="s">
        <v>413</v>
      </c>
      <c r="C233" s="4" t="s">
        <v>414</v>
      </c>
      <c r="D233">
        <v>4</v>
      </c>
      <c r="E233">
        <v>6</v>
      </c>
      <c r="F233">
        <v>-2</v>
      </c>
      <c r="G233">
        <v>14990</v>
      </c>
      <c r="J233" s="7">
        <f>(14990*2)</f>
        <v>29980</v>
      </c>
    </row>
    <row r="234" spans="2:10">
      <c r="B234" t="s">
        <v>415</v>
      </c>
      <c r="C234" s="4" t="s">
        <v>414</v>
      </c>
      <c r="D234">
        <v>5</v>
      </c>
      <c r="E234">
        <v>7</v>
      </c>
      <c r="F234">
        <v>-2</v>
      </c>
      <c r="G234">
        <v>1790</v>
      </c>
      <c r="J234" s="6">
        <f>(1790*2)</f>
        <v>3580</v>
      </c>
    </row>
    <row r="235" spans="2:10">
      <c r="B235" t="s">
        <v>416</v>
      </c>
      <c r="C235" s="4" t="s">
        <v>417</v>
      </c>
      <c r="D235">
        <v>3</v>
      </c>
      <c r="E235">
        <v>5</v>
      </c>
      <c r="F235">
        <v>-2</v>
      </c>
      <c r="G235">
        <v>5990</v>
      </c>
      <c r="J235" s="7">
        <f>(5990*2)</f>
        <v>11980</v>
      </c>
    </row>
    <row r="236" spans="2:10">
      <c r="B236" t="s">
        <v>418</v>
      </c>
      <c r="C236" s="4" t="s">
        <v>419</v>
      </c>
      <c r="D236">
        <v>1</v>
      </c>
      <c r="E236">
        <v>4</v>
      </c>
      <c r="F236">
        <v>-3</v>
      </c>
      <c r="G236">
        <v>15990</v>
      </c>
      <c r="J236" s="6">
        <f>(15990*3)</f>
        <v>47970</v>
      </c>
    </row>
    <row r="237" spans="2:10">
      <c r="B237" t="s">
        <v>420</v>
      </c>
      <c r="C237" s="4" t="s">
        <v>421</v>
      </c>
      <c r="D237">
        <v>3</v>
      </c>
      <c r="E237">
        <v>4</v>
      </c>
      <c r="F237">
        <v>-1</v>
      </c>
      <c r="G237">
        <v>4990</v>
      </c>
      <c r="J237" s="7">
        <v>4990</v>
      </c>
    </row>
    <row r="238" spans="2:10">
      <c r="B238" t="s">
        <v>422</v>
      </c>
      <c r="C238" s="4" t="s">
        <v>423</v>
      </c>
      <c r="D238">
        <v>1</v>
      </c>
      <c r="E238">
        <v>2</v>
      </c>
      <c r="F238">
        <v>-1</v>
      </c>
      <c r="G238">
        <v>28990</v>
      </c>
      <c r="J238" s="6">
        <v>28990</v>
      </c>
    </row>
    <row r="239" spans="2:10">
      <c r="B239" t="s">
        <v>424</v>
      </c>
      <c r="C239" s="4" t="s">
        <v>425</v>
      </c>
      <c r="D239">
        <v>0</v>
      </c>
      <c r="E239">
        <v>2</v>
      </c>
      <c r="F239">
        <v>-2</v>
      </c>
      <c r="G239">
        <v>34990</v>
      </c>
      <c r="J239" s="7">
        <f>(34990*2)</f>
        <v>69980</v>
      </c>
    </row>
    <row r="240" spans="2:10">
      <c r="B240" t="s">
        <v>426</v>
      </c>
      <c r="C240" s="4" t="s">
        <v>427</v>
      </c>
      <c r="D240">
        <v>0</v>
      </c>
      <c r="E240">
        <v>2</v>
      </c>
      <c r="F240">
        <v>-2</v>
      </c>
      <c r="G240">
        <v>18990</v>
      </c>
      <c r="J240" s="6">
        <f>(18990*2)</f>
        <v>37980</v>
      </c>
    </row>
    <row r="241" spans="2:10">
      <c r="B241" t="s">
        <v>428</v>
      </c>
      <c r="C241" s="4" t="s">
        <v>429</v>
      </c>
      <c r="D241">
        <v>0</v>
      </c>
      <c r="E241">
        <v>1</v>
      </c>
      <c r="F241">
        <v>-1</v>
      </c>
      <c r="G241">
        <v>19990</v>
      </c>
      <c r="J241" s="7">
        <v>19990</v>
      </c>
    </row>
    <row r="242" spans="2:10">
      <c r="B242" t="s">
        <v>430</v>
      </c>
      <c r="C242" s="4" t="s">
        <v>431</v>
      </c>
      <c r="D242">
        <v>0</v>
      </c>
      <c r="E242">
        <v>1</v>
      </c>
      <c r="F242">
        <v>-1</v>
      </c>
      <c r="G242">
        <v>29990</v>
      </c>
      <c r="J242" s="6">
        <v>29990</v>
      </c>
    </row>
    <row r="243" spans="2:10">
      <c r="B243" t="s">
        <v>432</v>
      </c>
      <c r="C243" s="4" t="s">
        <v>433</v>
      </c>
      <c r="D243">
        <v>0</v>
      </c>
      <c r="E243">
        <v>1</v>
      </c>
      <c r="F243">
        <v>-1</v>
      </c>
      <c r="G243">
        <v>14990</v>
      </c>
      <c r="J243" s="7">
        <v>14990</v>
      </c>
    </row>
    <row r="244" spans="2:10">
      <c r="B244" t="s">
        <v>434</v>
      </c>
      <c r="C244" s="4" t="s">
        <v>435</v>
      </c>
      <c r="D244">
        <v>0</v>
      </c>
      <c r="E244">
        <v>1</v>
      </c>
      <c r="F244">
        <v>-1</v>
      </c>
      <c r="G244">
        <v>29990</v>
      </c>
      <c r="J244" s="6">
        <v>29990</v>
      </c>
    </row>
    <row r="245" spans="2:10">
      <c r="B245" t="s">
        <v>436</v>
      </c>
      <c r="C245" s="4" t="s">
        <v>437</v>
      </c>
      <c r="D245">
        <v>0</v>
      </c>
      <c r="E245">
        <v>1</v>
      </c>
      <c r="F245">
        <v>-1</v>
      </c>
      <c r="G245">
        <v>7990</v>
      </c>
      <c r="J245" s="7">
        <v>7990</v>
      </c>
    </row>
    <row r="246" spans="2:10">
      <c r="B246" t="s">
        <v>438</v>
      </c>
      <c r="C246" s="4" t="s">
        <v>437</v>
      </c>
      <c r="D246">
        <v>0</v>
      </c>
      <c r="E246">
        <v>1</v>
      </c>
      <c r="F246">
        <v>-1</v>
      </c>
      <c r="G246">
        <v>7990</v>
      </c>
      <c r="J246" s="6">
        <v>7990</v>
      </c>
    </row>
    <row r="247" spans="2:10">
      <c r="B247" t="s">
        <v>436</v>
      </c>
      <c r="C247" s="4" t="s">
        <v>439</v>
      </c>
      <c r="D247">
        <v>0</v>
      </c>
      <c r="E247">
        <v>1</v>
      </c>
      <c r="F247">
        <v>-1</v>
      </c>
      <c r="G247">
        <v>18990</v>
      </c>
      <c r="J247" s="7">
        <v>18990</v>
      </c>
    </row>
    <row r="248" spans="2:10">
      <c r="B248" t="s">
        <v>440</v>
      </c>
      <c r="C248" s="4" t="s">
        <v>441</v>
      </c>
      <c r="D248">
        <v>0</v>
      </c>
      <c r="E248">
        <v>1</v>
      </c>
      <c r="F248">
        <v>-1</v>
      </c>
      <c r="G248">
        <v>129990</v>
      </c>
      <c r="J248" s="6">
        <v>129990</v>
      </c>
    </row>
    <row r="249" spans="2:10">
      <c r="B249" t="s">
        <v>430</v>
      </c>
      <c r="C249" s="4" t="s">
        <v>442</v>
      </c>
      <c r="D249">
        <v>0</v>
      </c>
      <c r="E249">
        <v>1</v>
      </c>
      <c r="F249">
        <v>-1</v>
      </c>
      <c r="G249">
        <v>27990</v>
      </c>
      <c r="J249" s="7">
        <v>27990</v>
      </c>
    </row>
    <row r="250" spans="2:10">
      <c r="B250" t="s">
        <v>436</v>
      </c>
      <c r="C250" s="4" t="s">
        <v>443</v>
      </c>
      <c r="D250">
        <v>0</v>
      </c>
      <c r="E250">
        <v>1</v>
      </c>
      <c r="F250">
        <v>-1</v>
      </c>
      <c r="G250">
        <v>22990</v>
      </c>
      <c r="J250" s="6">
        <v>22990</v>
      </c>
    </row>
    <row r="251" spans="2:10">
      <c r="B251" t="s">
        <v>444</v>
      </c>
      <c r="C251" s="4" t="s">
        <v>445</v>
      </c>
      <c r="D251">
        <v>0</v>
      </c>
      <c r="E251">
        <v>1</v>
      </c>
      <c r="F251">
        <v>-1</v>
      </c>
      <c r="G251">
        <v>44990</v>
      </c>
      <c r="J251" s="7">
        <v>44990</v>
      </c>
    </row>
    <row r="252" spans="2:10">
      <c r="B252" t="s">
        <v>446</v>
      </c>
      <c r="C252" s="4" t="s">
        <v>447</v>
      </c>
      <c r="D252">
        <v>0</v>
      </c>
      <c r="E252">
        <v>1</v>
      </c>
      <c r="F252">
        <v>-1</v>
      </c>
      <c r="G252">
        <v>14990</v>
      </c>
      <c r="J252" s="6">
        <v>14990</v>
      </c>
    </row>
    <row r="253" spans="2:10">
      <c r="B253" t="s">
        <v>448</v>
      </c>
      <c r="C253" s="4" t="s">
        <v>449</v>
      </c>
      <c r="D253">
        <v>0</v>
      </c>
      <c r="E253">
        <v>1</v>
      </c>
      <c r="F253">
        <v>-1</v>
      </c>
      <c r="G253">
        <v>14990</v>
      </c>
      <c r="J253" s="7">
        <v>14990</v>
      </c>
    </row>
    <row r="254" spans="2:10">
      <c r="B254" t="s">
        <v>450</v>
      </c>
      <c r="C254" s="4" t="s">
        <v>451</v>
      </c>
      <c r="D254">
        <v>0</v>
      </c>
      <c r="E254">
        <v>1</v>
      </c>
      <c r="F254">
        <v>-1</v>
      </c>
      <c r="G254">
        <v>24990</v>
      </c>
      <c r="J254" s="6">
        <v>24990</v>
      </c>
    </row>
    <row r="255" spans="2:10">
      <c r="B255" t="s">
        <v>85</v>
      </c>
      <c r="C255" s="4" t="s">
        <v>452</v>
      </c>
      <c r="D255">
        <v>0</v>
      </c>
      <c r="E255">
        <v>1</v>
      </c>
      <c r="F255">
        <v>-1</v>
      </c>
      <c r="G255">
        <v>18990</v>
      </c>
      <c r="J255" s="7">
        <v>18990</v>
      </c>
    </row>
    <row r="256" spans="2:10">
      <c r="B256" t="s">
        <v>453</v>
      </c>
      <c r="C256" s="4" t="s">
        <v>454</v>
      </c>
      <c r="D256">
        <v>0</v>
      </c>
      <c r="E256">
        <v>1</v>
      </c>
      <c r="F256">
        <v>-1</v>
      </c>
      <c r="G256">
        <v>149990</v>
      </c>
      <c r="J256" s="6">
        <v>149990</v>
      </c>
    </row>
    <row r="257" spans="2:10">
      <c r="B257" t="s">
        <v>455</v>
      </c>
      <c r="C257" s="4" t="s">
        <v>456</v>
      </c>
      <c r="D257">
        <v>0</v>
      </c>
      <c r="E257">
        <v>10</v>
      </c>
      <c r="F257">
        <v>-10</v>
      </c>
      <c r="G257">
        <v>6990</v>
      </c>
      <c r="J257" s="7">
        <f>(6990*2)</f>
        <v>13980</v>
      </c>
    </row>
    <row r="258" spans="2:10">
      <c r="B258" t="s">
        <v>457</v>
      </c>
      <c r="C258" s="4" t="s">
        <v>458</v>
      </c>
      <c r="D258">
        <v>0</v>
      </c>
      <c r="E258">
        <v>8</v>
      </c>
      <c r="F258">
        <v>-8</v>
      </c>
      <c r="G258">
        <v>2990</v>
      </c>
      <c r="J258" s="6">
        <f>(2990*8)</f>
        <v>23920</v>
      </c>
    </row>
    <row r="259" spans="2:10">
      <c r="B259" t="s">
        <v>279</v>
      </c>
      <c r="C259" s="4" t="s">
        <v>280</v>
      </c>
      <c r="D259">
        <v>0</v>
      </c>
      <c r="E259">
        <v>3</v>
      </c>
      <c r="F259">
        <v>-3</v>
      </c>
      <c r="G259">
        <v>3990</v>
      </c>
      <c r="J259" s="16">
        <f>(3990*3)</f>
        <v>11970</v>
      </c>
    </row>
    <row r="260" spans="2:10">
      <c r="B260" t="s">
        <v>461</v>
      </c>
      <c r="C260" s="4" t="s">
        <v>462</v>
      </c>
      <c r="D260">
        <v>0</v>
      </c>
      <c r="E260">
        <v>3</v>
      </c>
      <c r="F260">
        <v>-3</v>
      </c>
      <c r="G260">
        <v>39990</v>
      </c>
      <c r="J260">
        <f>(Tabla1[[#This Row],[Precio]]*3)</f>
        <v>119970</v>
      </c>
    </row>
    <row r="261" spans="2:10">
      <c r="B261" t="s">
        <v>22</v>
      </c>
      <c r="C261" s="4" t="s">
        <v>463</v>
      </c>
      <c r="D261">
        <v>0</v>
      </c>
      <c r="E261">
        <v>3</v>
      </c>
      <c r="F261">
        <v>-3</v>
      </c>
      <c r="G261">
        <v>14990</v>
      </c>
      <c r="J261">
        <f>(Tabla1[[#This Row],[Precio]]*3)</f>
        <v>44970</v>
      </c>
    </row>
    <row r="262" spans="2:10">
      <c r="B262" t="s">
        <v>464</v>
      </c>
      <c r="C262" s="4" t="s">
        <v>465</v>
      </c>
      <c r="D262">
        <v>0</v>
      </c>
      <c r="E262">
        <v>3</v>
      </c>
      <c r="F262">
        <v>-3</v>
      </c>
      <c r="G262">
        <v>17990</v>
      </c>
      <c r="J262">
        <f>(Tabla1[[#This Row],[Precio]]*3)</f>
        <v>53970</v>
      </c>
    </row>
    <row r="263" spans="2:10">
      <c r="B263" t="s">
        <v>466</v>
      </c>
      <c r="C263" s="4" t="s">
        <v>467</v>
      </c>
      <c r="D263">
        <v>0</v>
      </c>
      <c r="E263">
        <v>3</v>
      </c>
      <c r="F263">
        <v>-3</v>
      </c>
      <c r="G263">
        <v>16990</v>
      </c>
      <c r="J263">
        <f>(Tabla1[[#This Row],[Precio]]*3)</f>
        <v>50970</v>
      </c>
    </row>
    <row r="264" spans="2:10">
      <c r="B264" t="s">
        <v>468</v>
      </c>
      <c r="C264" s="4" t="s">
        <v>469</v>
      </c>
      <c r="D264">
        <v>0</v>
      </c>
      <c r="E264">
        <v>3</v>
      </c>
      <c r="F264">
        <v>-3</v>
      </c>
      <c r="G264">
        <v>13990</v>
      </c>
      <c r="J264">
        <f>(Tabla1[[#This Row],[Precio]]*3)</f>
        <v>41970</v>
      </c>
    </row>
    <row r="265" spans="2:10">
      <c r="B265" t="s">
        <v>470</v>
      </c>
      <c r="C265" s="4" t="s">
        <v>471</v>
      </c>
      <c r="D265">
        <v>0</v>
      </c>
      <c r="E265">
        <v>3</v>
      </c>
      <c r="F265">
        <v>-3</v>
      </c>
      <c r="G265">
        <v>22990</v>
      </c>
      <c r="J265">
        <f>(Tabla1[[#This Row],[Precio]]*3)</f>
        <v>68970</v>
      </c>
    </row>
    <row r="266" spans="2:10">
      <c r="B266" t="s">
        <v>472</v>
      </c>
      <c r="C266" s="4" t="s">
        <v>473</v>
      </c>
      <c r="D266">
        <v>0</v>
      </c>
      <c r="E266">
        <v>3</v>
      </c>
      <c r="F266">
        <v>-3</v>
      </c>
      <c r="G266">
        <v>7990</v>
      </c>
      <c r="J266">
        <f>(Tabla1[[#This Row],[Precio]]*3)</f>
        <v>23970</v>
      </c>
    </row>
    <row r="267" spans="2:10">
      <c r="B267" t="s">
        <v>474</v>
      </c>
      <c r="C267" s="4" t="s">
        <v>475</v>
      </c>
      <c r="D267">
        <v>0</v>
      </c>
      <c r="E267">
        <v>2</v>
      </c>
      <c r="F267">
        <v>-2</v>
      </c>
      <c r="G267">
        <v>39990</v>
      </c>
      <c r="J267">
        <f>(Tabla1[[#This Row],[Precio]]*2)</f>
        <v>79980</v>
      </c>
    </row>
    <row r="268" spans="2:10">
      <c r="B268" t="s">
        <v>468</v>
      </c>
      <c r="C268" s="4" t="s">
        <v>476</v>
      </c>
      <c r="D268">
        <v>0</v>
      </c>
      <c r="E268">
        <v>2</v>
      </c>
      <c r="F268">
        <v>-2</v>
      </c>
      <c r="G268">
        <v>15990</v>
      </c>
      <c r="J268">
        <f>(Tabla1[[#This Row],[Precio]]*2)</f>
        <v>31980</v>
      </c>
    </row>
    <row r="269" spans="2:10">
      <c r="B269" t="s">
        <v>477</v>
      </c>
      <c r="C269" s="4" t="s">
        <v>478</v>
      </c>
      <c r="D269">
        <v>0</v>
      </c>
      <c r="E269">
        <v>2</v>
      </c>
      <c r="F269">
        <v>-2</v>
      </c>
      <c r="G269">
        <v>12990</v>
      </c>
      <c r="J269">
        <f>(Tabla1[[#This Row],[Precio]]*2)</f>
        <v>25980</v>
      </c>
    </row>
    <row r="270" spans="2:10">
      <c r="B270" t="s">
        <v>477</v>
      </c>
      <c r="C270" s="4" t="s">
        <v>479</v>
      </c>
      <c r="D270">
        <v>0</v>
      </c>
      <c r="E270">
        <v>2</v>
      </c>
      <c r="F270">
        <v>-2</v>
      </c>
      <c r="G270">
        <v>9990</v>
      </c>
      <c r="J270">
        <f>(Tabla1[[#This Row],[Precio]]*2)</f>
        <v>19980</v>
      </c>
    </row>
    <row r="271" spans="2:10">
      <c r="B271" t="s">
        <v>480</v>
      </c>
      <c r="C271" s="4" t="s">
        <v>481</v>
      </c>
      <c r="D271">
        <v>0</v>
      </c>
      <c r="E271">
        <v>1</v>
      </c>
      <c r="F271">
        <v>-1</v>
      </c>
      <c r="G271">
        <v>19990</v>
      </c>
      <c r="J271" s="6">
        <v>19990</v>
      </c>
    </row>
    <row r="272" spans="2:10">
      <c r="B272" t="s">
        <v>482</v>
      </c>
      <c r="C272" s="4" t="s">
        <v>483</v>
      </c>
      <c r="D272">
        <v>0</v>
      </c>
      <c r="E272">
        <v>1</v>
      </c>
      <c r="F272">
        <v>-1</v>
      </c>
      <c r="G272">
        <v>12990</v>
      </c>
      <c r="J272" s="7">
        <v>12990</v>
      </c>
    </row>
    <row r="273" spans="2:10">
      <c r="B273" t="s">
        <v>484</v>
      </c>
      <c r="C273" s="4" t="s">
        <v>255</v>
      </c>
      <c r="D273">
        <v>0</v>
      </c>
      <c r="E273">
        <v>1</v>
      </c>
      <c r="F273">
        <v>-1</v>
      </c>
      <c r="G273">
        <v>19990</v>
      </c>
      <c r="J273" s="6">
        <v>19990</v>
      </c>
    </row>
    <row r="274" spans="2:10">
      <c r="B274" t="s">
        <v>482</v>
      </c>
      <c r="C274" s="4" t="s">
        <v>485</v>
      </c>
      <c r="D274">
        <v>0</v>
      </c>
      <c r="E274">
        <v>1</v>
      </c>
      <c r="F274">
        <v>-1</v>
      </c>
      <c r="G274">
        <v>10990</v>
      </c>
      <c r="J274" s="7">
        <v>10990</v>
      </c>
    </row>
    <row r="275" spans="2:10">
      <c r="B275" t="s">
        <v>486</v>
      </c>
      <c r="C275" s="4" t="s">
        <v>487</v>
      </c>
      <c r="D275">
        <v>0</v>
      </c>
      <c r="E275">
        <v>1</v>
      </c>
      <c r="F275">
        <v>-1</v>
      </c>
      <c r="G275">
        <v>9990</v>
      </c>
      <c r="J275" s="6">
        <v>9990</v>
      </c>
    </row>
    <row r="276" spans="2:10">
      <c r="B276" t="s">
        <v>484</v>
      </c>
      <c r="C276" s="4" t="s">
        <v>488</v>
      </c>
      <c r="D276">
        <v>0</v>
      </c>
      <c r="E276">
        <v>1</v>
      </c>
      <c r="F276">
        <v>-1</v>
      </c>
      <c r="G276">
        <v>14990</v>
      </c>
      <c r="J276" s="7">
        <v>14990</v>
      </c>
    </row>
    <row r="277" spans="2:10">
      <c r="B277" t="s">
        <v>489</v>
      </c>
      <c r="C277" s="4" t="s">
        <v>490</v>
      </c>
      <c r="D277">
        <v>0</v>
      </c>
      <c r="E277">
        <v>1</v>
      </c>
      <c r="F277">
        <v>-1</v>
      </c>
      <c r="G277">
        <v>11990</v>
      </c>
      <c r="J277" s="6">
        <v>11990</v>
      </c>
    </row>
    <row r="278" spans="2:10">
      <c r="B278" t="s">
        <v>22</v>
      </c>
      <c r="C278" s="4" t="s">
        <v>491</v>
      </c>
      <c r="D278">
        <v>0</v>
      </c>
      <c r="E278">
        <v>1</v>
      </c>
      <c r="F278">
        <v>-1</v>
      </c>
      <c r="G278">
        <v>9990</v>
      </c>
      <c r="J278" s="7">
        <v>9990</v>
      </c>
    </row>
    <row r="279" spans="2:10">
      <c r="B279" t="s">
        <v>493</v>
      </c>
      <c r="C279" s="4" t="s">
        <v>492</v>
      </c>
      <c r="D279">
        <v>0</v>
      </c>
      <c r="E279">
        <v>1</v>
      </c>
      <c r="F279">
        <v>-1</v>
      </c>
      <c r="G279">
        <v>13990</v>
      </c>
      <c r="J279" s="6">
        <v>13990</v>
      </c>
    </row>
    <row r="280" spans="2:10">
      <c r="B280" t="s">
        <v>477</v>
      </c>
      <c r="C280" s="4" t="s">
        <v>494</v>
      </c>
      <c r="D280">
        <v>0</v>
      </c>
      <c r="E280">
        <v>1</v>
      </c>
      <c r="F280">
        <v>-1</v>
      </c>
      <c r="G280">
        <v>9990</v>
      </c>
      <c r="J280" s="7">
        <v>9990</v>
      </c>
    </row>
    <row r="281" spans="2:10">
      <c r="B281" t="s">
        <v>495</v>
      </c>
      <c r="C281" s="4" t="s">
        <v>496</v>
      </c>
      <c r="D281">
        <v>0</v>
      </c>
      <c r="E281">
        <v>1</v>
      </c>
      <c r="F281">
        <v>-1</v>
      </c>
      <c r="G281">
        <v>14990</v>
      </c>
      <c r="J281" s="6">
        <v>14990</v>
      </c>
    </row>
    <row r="282" spans="2:10">
      <c r="B282" t="s">
        <v>497</v>
      </c>
      <c r="C282" s="4" t="s">
        <v>498</v>
      </c>
      <c r="D282">
        <v>0</v>
      </c>
      <c r="E282">
        <v>1</v>
      </c>
      <c r="F282">
        <v>-1</v>
      </c>
      <c r="G282">
        <v>19990</v>
      </c>
      <c r="J282" s="7">
        <v>19990</v>
      </c>
    </row>
    <row r="283" spans="2:10">
      <c r="B283" t="s">
        <v>484</v>
      </c>
      <c r="C283" s="4" t="s">
        <v>499</v>
      </c>
      <c r="D283">
        <v>0</v>
      </c>
      <c r="E283">
        <v>1</v>
      </c>
      <c r="F283">
        <v>-1</v>
      </c>
      <c r="G283">
        <v>10990</v>
      </c>
      <c r="J283" s="6">
        <v>10990</v>
      </c>
    </row>
    <row r="284" spans="2:10">
      <c r="B284" t="s">
        <v>472</v>
      </c>
      <c r="C284" s="4" t="s">
        <v>500</v>
      </c>
      <c r="D284" s="9">
        <v>0</v>
      </c>
      <c r="E284">
        <v>1</v>
      </c>
      <c r="F284">
        <v>-1</v>
      </c>
      <c r="G284">
        <v>9990</v>
      </c>
      <c r="J284" s="7">
        <v>9990</v>
      </c>
    </row>
    <row r="285" spans="2:10">
      <c r="B285" t="s">
        <v>501</v>
      </c>
      <c r="C285" s="4" t="s">
        <v>502</v>
      </c>
      <c r="D285">
        <v>0</v>
      </c>
      <c r="E285">
        <v>1</v>
      </c>
      <c r="F285">
        <v>-1</v>
      </c>
      <c r="G285">
        <v>22990</v>
      </c>
      <c r="J285" s="6">
        <v>22990</v>
      </c>
    </row>
    <row r="286" spans="2:10">
      <c r="B286" t="s">
        <v>477</v>
      </c>
      <c r="C286" s="4" t="s">
        <v>503</v>
      </c>
      <c r="D286">
        <v>0</v>
      </c>
      <c r="E286">
        <v>1</v>
      </c>
      <c r="F286">
        <v>-1</v>
      </c>
      <c r="G286">
        <v>16990</v>
      </c>
      <c r="J286" s="7">
        <v>16990</v>
      </c>
    </row>
    <row r="287" spans="2:10">
      <c r="B287" t="s">
        <v>504</v>
      </c>
      <c r="C287" s="4" t="s">
        <v>505</v>
      </c>
      <c r="D287">
        <v>0</v>
      </c>
      <c r="E287">
        <v>1</v>
      </c>
      <c r="F287">
        <v>-1</v>
      </c>
      <c r="G287">
        <v>8990</v>
      </c>
      <c r="J287" s="6">
        <v>8990</v>
      </c>
    </row>
    <row r="288" spans="2:10">
      <c r="B288" t="s">
        <v>477</v>
      </c>
      <c r="C288" s="4" t="s">
        <v>506</v>
      </c>
      <c r="D288">
        <v>0</v>
      </c>
      <c r="E288">
        <v>1</v>
      </c>
      <c r="F288">
        <v>-1</v>
      </c>
      <c r="G288">
        <v>8990</v>
      </c>
      <c r="J288" s="7">
        <v>8990</v>
      </c>
    </row>
    <row r="289" spans="2:10">
      <c r="B289" t="s">
        <v>484</v>
      </c>
      <c r="C289" s="4" t="s">
        <v>507</v>
      </c>
      <c r="D289">
        <v>0</v>
      </c>
      <c r="E289">
        <v>1</v>
      </c>
      <c r="F289">
        <v>-1</v>
      </c>
      <c r="G289">
        <v>11990</v>
      </c>
      <c r="J289" s="6">
        <v>11990</v>
      </c>
    </row>
    <row r="290" spans="2:10">
      <c r="B290" t="s">
        <v>504</v>
      </c>
      <c r="C290" s="4" t="s">
        <v>508</v>
      </c>
      <c r="D290">
        <v>0</v>
      </c>
      <c r="E290">
        <v>1</v>
      </c>
      <c r="F290">
        <v>-1</v>
      </c>
      <c r="G290">
        <v>13990</v>
      </c>
      <c r="J290" s="7">
        <v>13990</v>
      </c>
    </row>
    <row r="291" spans="2:10">
      <c r="B291" t="s">
        <v>484</v>
      </c>
      <c r="C291" s="4" t="s">
        <v>234</v>
      </c>
      <c r="D291">
        <v>0</v>
      </c>
      <c r="E291">
        <v>1</v>
      </c>
      <c r="F291">
        <v>-1</v>
      </c>
      <c r="G291">
        <v>19990</v>
      </c>
      <c r="J291" s="6">
        <v>19990</v>
      </c>
    </row>
    <row r="292" spans="2:10">
      <c r="B292" t="s">
        <v>482</v>
      </c>
      <c r="C292" s="4" t="s">
        <v>219</v>
      </c>
      <c r="D292">
        <v>0</v>
      </c>
      <c r="E292">
        <v>1</v>
      </c>
      <c r="F292">
        <v>-1</v>
      </c>
      <c r="G292">
        <v>9990</v>
      </c>
      <c r="J292" s="7">
        <v>9990</v>
      </c>
    </row>
    <row r="293" spans="2:10">
      <c r="B293" t="s">
        <v>484</v>
      </c>
      <c r="C293" s="4" t="s">
        <v>509</v>
      </c>
      <c r="D293">
        <v>0</v>
      </c>
      <c r="E293">
        <v>1</v>
      </c>
      <c r="F293">
        <v>-1</v>
      </c>
      <c r="G293">
        <v>10990</v>
      </c>
      <c r="J293" s="6">
        <v>10990</v>
      </c>
    </row>
    <row r="294" spans="2:10">
      <c r="C294" s="4"/>
    </row>
    <row r="296" spans="2:10">
      <c r="I296" s="10" t="s">
        <v>459</v>
      </c>
      <c r="J296" s="14">
        <f>SUM(J3:J293)</f>
        <v>8530450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Tecnobox</dc:creator>
  <cp:lastModifiedBy>Tecnobox</cp:lastModifiedBy>
  <dcterms:created xsi:type="dcterms:W3CDTF">2025-10-11T14:19:19Z</dcterms:created>
  <dcterms:modified xsi:type="dcterms:W3CDTF">2025-10-31T21:42:16Z</dcterms:modified>
</cp:coreProperties>
</file>